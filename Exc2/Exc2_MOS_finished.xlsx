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13_ncr:1_{4421DBBA-D6A5-4D2C-B576-DAE2AA3DAAF3}" xr6:coauthVersionLast="47" xr6:coauthVersionMax="47" xr10:uidLastSave="{00000000-0000-0000-0000-000000000000}"/>
  <bookViews>
    <workbookView xWindow="-120" yWindow="-120" windowWidth="29040" windowHeight="15720" activeTab="5" xr2:uid="{74AB2945-FD35-4D32-9359-BA2C00FF4919}"/>
  </bookViews>
  <sheets>
    <sheet name="GlobalSales" sheetId="2" r:id="rId1"/>
    <sheet name="HR_Records" sheetId="3" r:id="rId2"/>
    <sheet name="Logistics" sheetId="4" r:id="rId3"/>
    <sheet name="CampaignViz" sheetId="7" r:id="rId4"/>
    <sheet name="MarketingCampaign" sheetId="5" r:id="rId5"/>
    <sheet name="Summary_Setup" sheetId="6" r:id="rId6"/>
  </sheets>
  <definedNames>
    <definedName name="ExternalData_2" localSheetId="1" hidden="1">HR_Records!$A$1:$F$8</definedName>
    <definedName name="ExternalData_3" localSheetId="4" hidden="1">MarketingCampaign!$A$1:$F$6</definedName>
    <definedName name="ExternalData_4" localSheetId="5" hidden="1">Summary_Setup!$A$1:$E$5</definedName>
    <definedName name="Locations" localSheetId="2">Table1[Destination]</definedName>
    <definedName name="_xlnm.Print_Area" localSheetId="0">GlobalSales!$A$1:$G$9</definedName>
    <definedName name="ShippingData">Table1[#All]</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6" l="1"/>
  <c r="F4" i="6"/>
  <c r="F5" i="6"/>
  <c r="F2" i="6"/>
  <c r="H2" i="4"/>
  <c r="A5" i="4"/>
  <c r="H3" i="3"/>
  <c r="H4" i="3"/>
  <c r="H5" i="3"/>
  <c r="H6" i="3"/>
  <c r="H7" i="3"/>
  <c r="H8" i="3"/>
  <c r="H2" i="3"/>
  <c r="G3" i="3"/>
  <c r="G4" i="3"/>
  <c r="G5" i="3"/>
  <c r="G6" i="3"/>
  <c r="G7" i="3"/>
  <c r="G8" i="3"/>
  <c r="G2" i="3"/>
  <c r="G3" i="2"/>
  <c r="G4" i="2"/>
  <c r="G5" i="2"/>
  <c r="G6" i="2"/>
  <c r="G7" i="2"/>
  <c r="G8" i="2"/>
  <c r="G9" i="2"/>
  <c r="G2" i="2"/>
  <c r="F6" i="6" l="1"/>
  <c r="G2" i="6" s="1"/>
  <c r="G3" i="6" l="1"/>
  <c r="G4" i="6"/>
  <c r="G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5EC796-9D6E-42E5-97E1-9EA99050EA9B}" keepAlive="1" name="Query - HR_Records" description="Connection to the 'HR_Records' query in the workbook." type="5" refreshedVersion="8" background="1" saveData="1">
    <dbPr connection="Provider=Microsoft.Mashup.OleDb.1;Data Source=$Workbook$;Location=HR_Records;Extended Properties=&quot;&quot;" command="SELECT * FROM [HR_Records]"/>
  </connection>
  <connection id="2" xr16:uid="{62BEC52D-1C80-48A6-82A3-395605A3AD37}" keepAlive="1" name="Query - Logistics" description="Connection to the 'Logistics' query in the workbook." type="5" refreshedVersion="8" background="1" saveData="1">
    <dbPr connection="Provider=Microsoft.Mashup.OleDb.1;Data Source=$Workbook$;Location=Logistics;Extended Properties=&quot;&quot;" command="SELECT * FROM [Logistics]"/>
  </connection>
  <connection id="3" xr16:uid="{D3E42C49-C459-4BE1-95B4-81FE6AEBC8CB}" keepAlive="1" name="Query - MarketingCampaign" description="Connection to the 'MarketingCampaign' query in the workbook." type="5" refreshedVersion="8" background="1" saveData="1">
    <dbPr connection="Provider=Microsoft.Mashup.OleDb.1;Data Source=$Workbook$;Location=MarketingCampaign;Extended Properties=&quot;&quot;" command="SELECT * FROM [MarketingCampaign]"/>
  </connection>
  <connection id="4" xr16:uid="{42D0E8CC-14F2-49BE-BB0F-6453248C72EC}" keepAlive="1" name="Query - Summary_Setup" description="Connection to the 'Summary_Setup' query in the workbook." type="5" refreshedVersion="8" background="1" saveData="1">
    <dbPr connection="Provider=Microsoft.Mashup.OleDb.1;Data Source=$Workbook$;Location=Summary_Setup;Extended Properties=&quot;&quot;" command="SELECT * FROM [Summary_Setup]"/>
  </connection>
</connections>
</file>

<file path=xl/sharedStrings.xml><?xml version="1.0" encoding="utf-8"?>
<sst xmlns="http://schemas.openxmlformats.org/spreadsheetml/2006/main" count="113" uniqueCount="96">
  <si>
    <t>OrderID</t>
  </si>
  <si>
    <t>Date</t>
  </si>
  <si>
    <t>Country</t>
  </si>
  <si>
    <t>Product</t>
  </si>
  <si>
    <t>Quantity</t>
  </si>
  <si>
    <t>UnitPrice</t>
  </si>
  <si>
    <t>05/10/2026</t>
  </si>
  <si>
    <t>USA</t>
  </si>
  <si>
    <t>Widget A</t>
  </si>
  <si>
    <t>05/11/2026</t>
  </si>
  <si>
    <t>UK</t>
  </si>
  <si>
    <t>Widget B</t>
  </si>
  <si>
    <t>05/12/2026</t>
  </si>
  <si>
    <t>Germany</t>
  </si>
  <si>
    <t>Widget C</t>
  </si>
  <si>
    <t>05/13/2026</t>
  </si>
  <si>
    <t>05/14/2026</t>
  </si>
  <si>
    <t>France</t>
  </si>
  <si>
    <t>05/15/2026</t>
  </si>
  <si>
    <t>EmpID</t>
  </si>
  <si>
    <t>LastName</t>
  </si>
  <si>
    <t>FirstName</t>
  </si>
  <si>
    <t>Dept</t>
  </si>
  <si>
    <t>YearsOfService</t>
  </si>
  <si>
    <t>Salary</t>
  </si>
  <si>
    <t>E101</t>
  </si>
  <si>
    <t>Smith</t>
  </si>
  <si>
    <t>John</t>
  </si>
  <si>
    <t>Sales</t>
  </si>
  <si>
    <t>E102</t>
  </si>
  <si>
    <t>Doe</t>
  </si>
  <si>
    <t>Jane</t>
  </si>
  <si>
    <t>IT</t>
  </si>
  <si>
    <t>E103</t>
  </si>
  <si>
    <t>Brown</t>
  </si>
  <si>
    <t>William</t>
  </si>
  <si>
    <t>HR</t>
  </si>
  <si>
    <t>E104</t>
  </si>
  <si>
    <t>Johnson</t>
  </si>
  <si>
    <t>Michael</t>
  </si>
  <si>
    <t>E105</t>
  </si>
  <si>
    <t>Davis</t>
  </si>
  <si>
    <t>Emily</t>
  </si>
  <si>
    <t>E106</t>
  </si>
  <si>
    <t>Wilson</t>
  </si>
  <si>
    <t>Jessica</t>
  </si>
  <si>
    <t>Marketing</t>
  </si>
  <si>
    <t>E107</t>
  </si>
  <si>
    <t>Moore</t>
  </si>
  <si>
    <t>David</t>
  </si>
  <si>
    <t>ShipmentID</t>
  </si>
  <si>
    <t>Warehouse</t>
  </si>
  <si>
    <t>Destination</t>
  </si>
  <si>
    <t>Weight</t>
  </si>
  <si>
    <t>Status</t>
  </si>
  <si>
    <t>Cost</t>
  </si>
  <si>
    <t>S901</t>
  </si>
  <si>
    <t>North</t>
  </si>
  <si>
    <t>London</t>
  </si>
  <si>
    <t>Delivered</t>
  </si>
  <si>
    <t>S902</t>
  </si>
  <si>
    <t>South</t>
  </si>
  <si>
    <t>Paris</t>
  </si>
  <si>
    <t>In Transit</t>
  </si>
  <si>
    <t>S904</t>
  </si>
  <si>
    <t>East</t>
  </si>
  <si>
    <t>CampaignName</t>
  </si>
  <si>
    <t>Platform</t>
  </si>
  <si>
    <t>Budget</t>
  </si>
  <si>
    <t>Spend</t>
  </si>
  <si>
    <t>Conversions</t>
  </si>
  <si>
    <t>CPA</t>
  </si>
  <si>
    <t>SummerSale</t>
  </si>
  <si>
    <t>Google</t>
  </si>
  <si>
    <t>BrandAware</t>
  </si>
  <si>
    <t>Facebook</t>
  </si>
  <si>
    <t>Retargeting</t>
  </si>
  <si>
    <t>B2B_Leads</t>
  </si>
  <si>
    <t>LinkedIn</t>
  </si>
  <si>
    <t>GenZ_Promo</t>
  </si>
  <si>
    <t>TikTok</t>
  </si>
  <si>
    <t>Category</t>
  </si>
  <si>
    <t>Q1</t>
  </si>
  <si>
    <t>Q2</t>
  </si>
  <si>
    <t>Q3</t>
  </si>
  <si>
    <t>Q4</t>
  </si>
  <si>
    <t>Electronics</t>
  </si>
  <si>
    <t>Furniture</t>
  </si>
  <si>
    <t>Accessories</t>
  </si>
  <si>
    <t>Services</t>
  </si>
  <si>
    <t>Total</t>
  </si>
  <si>
    <t>FullName</t>
  </si>
  <si>
    <t>Bonus</t>
  </si>
  <si>
    <t>Company Portal</t>
  </si>
  <si>
    <t>Trend</t>
  </si>
  <si>
    <t>%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</si>
</sst>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dd\-mmm\-yy"/>
    <numFmt numFmtId="175" formatCode="0.00&quot; USD&quot;"/>
  </numFmts>
  <fonts count="5" x14ac:knownFonts="1">
    <font>
      <sz val="11"/>
      <color theme="1"/>
      <name val="Aptos Narrow"/>
      <family val="2"/>
      <charset val="238"/>
      <scheme val="minor"/>
    </font>
    <font>
      <b/>
      <sz val="15"/>
      <color theme="3"/>
      <name val="Aptos Narrow"/>
      <family val="2"/>
      <charset val="238"/>
      <scheme val="minor"/>
    </font>
    <font>
      <b/>
      <sz val="11"/>
      <color theme="0"/>
      <name val="Aptos Narrow"/>
      <family val="2"/>
      <charset val="238"/>
      <scheme val="minor"/>
    </font>
    <font>
      <sz val="11"/>
      <color theme="1"/>
      <name val="Aptos Narrow"/>
      <family val="2"/>
      <scheme val="minor"/>
    </font>
    <font>
      <u/>
      <sz val="11"/>
      <color theme="10"/>
      <name val="Aptos Narrow"/>
      <family val="2"/>
      <charset val="238"/>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1">
    <border>
      <left/>
      <right/>
      <top/>
      <bottom/>
      <diagonal/>
    </border>
    <border>
      <left/>
      <right/>
      <top/>
      <bottom style="thick">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ck">
        <color theme="4"/>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ck">
        <color theme="4"/>
      </top>
      <bottom/>
      <diagonal/>
    </border>
    <border>
      <left/>
      <right style="thin">
        <color theme="9" tint="0.39997558519241921"/>
      </right>
      <top style="thick">
        <color theme="4"/>
      </top>
      <bottom/>
      <diagonal/>
    </border>
  </borders>
  <cellStyleXfs count="3">
    <xf numFmtId="0" fontId="0" fillId="0" borderId="0"/>
    <xf numFmtId="0" fontId="1" fillId="0" borderId="1" applyNumberFormat="0" applyFill="0" applyAlignment="0" applyProtection="0"/>
    <xf numFmtId="0" fontId="4" fillId="0" borderId="0" applyNumberFormat="0" applyFill="0" applyBorder="0" applyAlignment="0" applyProtection="0"/>
  </cellStyleXfs>
  <cellXfs count="33">
    <xf numFmtId="0" fontId="0" fillId="0" borderId="0" xfId="0"/>
    <xf numFmtId="0" fontId="0" fillId="0" borderId="2" xfId="0" applyFont="1" applyBorder="1"/>
    <xf numFmtId="0" fontId="0" fillId="0" borderId="3" xfId="0" applyFont="1" applyBorder="1"/>
    <xf numFmtId="0" fontId="0" fillId="0" borderId="4" xfId="0" applyFont="1" applyBorder="1"/>
    <xf numFmtId="0" fontId="0" fillId="0" borderId="0" xfId="0"/>
    <xf numFmtId="0" fontId="1" fillId="2" borderId="6" xfId="1" applyFont="1" applyFill="1" applyBorder="1"/>
    <xf numFmtId="0" fontId="1" fillId="2" borderId="7" xfId="1" applyFont="1" applyFill="1" applyBorder="1"/>
    <xf numFmtId="0" fontId="1" fillId="2" borderId="8" xfId="1" applyFont="1" applyFill="1" applyBorder="1"/>
    <xf numFmtId="0" fontId="0" fillId="3" borderId="9" xfId="0" applyFont="1" applyFill="1" applyBorder="1"/>
    <xf numFmtId="14" fontId="0" fillId="3" borderId="5" xfId="0" applyNumberFormat="1" applyFont="1" applyFill="1" applyBorder="1"/>
    <xf numFmtId="0" fontId="0" fillId="3" borderId="5" xfId="0" applyFont="1" applyFill="1" applyBorder="1"/>
    <xf numFmtId="175" fontId="0" fillId="3" borderId="5" xfId="0" applyNumberFormat="1" applyFont="1" applyFill="1" applyBorder="1"/>
    <xf numFmtId="0" fontId="0" fillId="3" borderId="10" xfId="0" applyFont="1" applyFill="1" applyBorder="1"/>
    <xf numFmtId="0" fontId="0" fillId="0" borderId="6" xfId="0" applyFont="1" applyBorder="1"/>
    <xf numFmtId="170" fontId="0" fillId="0" borderId="7" xfId="0" applyNumberFormat="1" applyFont="1" applyBorder="1"/>
    <xf numFmtId="0" fontId="0" fillId="0" borderId="7" xfId="0" applyFont="1" applyBorder="1"/>
    <xf numFmtId="0" fontId="0" fillId="0" borderId="8" xfId="0" applyFont="1" applyBorder="1"/>
    <xf numFmtId="0" fontId="0" fillId="3" borderId="6" xfId="0" applyFont="1" applyFill="1" applyBorder="1"/>
    <xf numFmtId="14" fontId="0" fillId="3" borderId="7" xfId="0" applyNumberFormat="1" applyFont="1" applyFill="1" applyBorder="1"/>
    <xf numFmtId="0" fontId="0" fillId="3" borderId="7" xfId="0" applyFont="1" applyFill="1" applyBorder="1"/>
    <xf numFmtId="0" fontId="0" fillId="3" borderId="8" xfId="0" applyFont="1" applyFill="1" applyBorder="1"/>
    <xf numFmtId="14" fontId="0" fillId="0" borderId="7" xfId="0" applyNumberFormat="1" applyFont="1" applyBorder="1"/>
    <xf numFmtId="14" fontId="0" fillId="0" borderId="3" xfId="0" applyNumberFormat="1" applyFont="1" applyBorder="1"/>
    <xf numFmtId="175" fontId="0" fillId="0" borderId="7" xfId="0" applyNumberFormat="1" applyFont="1" applyBorder="1"/>
    <xf numFmtId="175" fontId="0" fillId="3" borderId="7" xfId="0" applyNumberFormat="1" applyFont="1" applyFill="1" applyBorder="1"/>
    <xf numFmtId="175" fontId="0" fillId="0" borderId="3" xfId="0" applyNumberFormat="1" applyFont="1" applyBorder="1"/>
    <xf numFmtId="0" fontId="0" fillId="0" borderId="0" xfId="0" applyNumberFormat="1"/>
    <xf numFmtId="0" fontId="3" fillId="0" borderId="0" xfId="0" applyFont="1"/>
    <xf numFmtId="0" fontId="4" fillId="0" borderId="0" xfId="2"/>
    <xf numFmtId="0" fontId="2" fillId="2" borderId="0" xfId="0" applyFont="1" applyFill="1" applyBorder="1"/>
    <xf numFmtId="0" fontId="0" fillId="3" borderId="0" xfId="0" applyFont="1" applyFill="1" applyBorder="1"/>
    <xf numFmtId="0" fontId="2" fillId="2" borderId="0" xfId="0" applyFont="1" applyFill="1"/>
    <xf numFmtId="10" fontId="0" fillId="0" borderId="0" xfId="0" applyNumberFormat="1"/>
  </cellXfs>
  <cellStyles count="3">
    <cellStyle name="Heading 1" xfId="1" builtinId="16"/>
    <cellStyle name="Hyperlink" xfId="2" builtinId="8"/>
    <cellStyle name="Normal" xfId="0" builtinId="0"/>
  </cellStyles>
  <dxfs count="28">
    <dxf>
      <numFmt numFmtId="0" formatCode="General"/>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charset val="238"/>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Aptos Narrow"/>
        <family val="2"/>
        <charset val="238"/>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sharedStrings" Target="sharedStrings.xml"/><Relationship Id="rId5" Type="http://schemas.openxmlformats.org/officeDocument/2006/relationships/worksheet" Target="worksheets/sheet4.xml"/><Relationship Id="rId10" Type="http://schemas.openxmlformats.org/officeDocument/2006/relationships/styles" Target="styles.xml"/><Relationship Id="rId4" Type="http://schemas.openxmlformats.org/officeDocument/2006/relationships/chartsheet" Target="chartsheets/sheet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strRef>
              <c:f>MarketingCampaign!$C$1</c:f>
              <c:strCache>
                <c:ptCount val="1"/>
                <c:pt idx="0">
                  <c:v>Budget</c:v>
                </c:pt>
              </c:strCache>
            </c:strRef>
          </c:tx>
          <c:spPr>
            <a:solidFill>
              <a:schemeClr val="accent1"/>
            </a:solidFill>
            <a:ln>
              <a:noFill/>
            </a:ln>
            <a:effectLst/>
          </c:spPr>
          <c:invertIfNegative val="0"/>
          <c:cat>
            <c:strRef>
              <c:f>MarketingCampaign!$A$2:$A$6</c:f>
              <c:strCache>
                <c:ptCount val="5"/>
                <c:pt idx="0">
                  <c:v>BrandAware</c:v>
                </c:pt>
                <c:pt idx="1">
                  <c:v>SummerSale</c:v>
                </c:pt>
                <c:pt idx="2">
                  <c:v>Retargeting</c:v>
                </c:pt>
                <c:pt idx="3">
                  <c:v>B2B_Leads</c:v>
                </c:pt>
                <c:pt idx="4">
                  <c:v>GenZ_Promo</c:v>
                </c:pt>
              </c:strCache>
            </c:strRef>
          </c:cat>
          <c:val>
            <c:numRef>
              <c:f>MarketingCampaign!$C$2:$C$6</c:f>
              <c:numCache>
                <c:formatCode>General</c:formatCode>
                <c:ptCount val="5"/>
                <c:pt idx="0">
                  <c:v>8000</c:v>
                </c:pt>
                <c:pt idx="1">
                  <c:v>15000</c:v>
                </c:pt>
                <c:pt idx="2">
                  <c:v>5000</c:v>
                </c:pt>
                <c:pt idx="3">
                  <c:v>12000</c:v>
                </c:pt>
                <c:pt idx="4">
                  <c:v>6000</c:v>
                </c:pt>
              </c:numCache>
            </c:numRef>
          </c:val>
          <c:extLst>
            <c:ext xmlns:c16="http://schemas.microsoft.com/office/drawing/2014/chart" uri="{C3380CC4-5D6E-409C-BE32-E72D297353CC}">
              <c16:uniqueId val="{00000000-DFD4-42FF-A107-174E24290F40}"/>
            </c:ext>
          </c:extLst>
        </c:ser>
        <c:dLbls>
          <c:showLegendKey val="0"/>
          <c:showVal val="0"/>
          <c:showCatName val="0"/>
          <c:showSerName val="0"/>
          <c:showPercent val="0"/>
          <c:showBubbleSize val="0"/>
        </c:dLbls>
        <c:gapWidth val="75"/>
        <c:overlap val="-25"/>
        <c:axId val="477166192"/>
        <c:axId val="477169552"/>
      </c:barChart>
      <c:lineChart>
        <c:grouping val="standard"/>
        <c:varyColors val="0"/>
        <c:ser>
          <c:idx val="1"/>
          <c:order val="1"/>
          <c:tx>
            <c:strRef>
              <c:f>MarketingCampaign!$D$1</c:f>
              <c:strCache>
                <c:ptCount val="1"/>
                <c:pt idx="0">
                  <c:v>Spend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MarketingCampaign!$A$2:$A$6</c:f>
              <c:strCache>
                <c:ptCount val="5"/>
                <c:pt idx="0">
                  <c:v>BrandAware</c:v>
                </c:pt>
                <c:pt idx="1">
                  <c:v>SummerSale</c:v>
                </c:pt>
                <c:pt idx="2">
                  <c:v>Retargeting</c:v>
                </c:pt>
                <c:pt idx="3">
                  <c:v>B2B_Leads</c:v>
                </c:pt>
                <c:pt idx="4">
                  <c:v>GenZ_Promo</c:v>
                </c:pt>
              </c:strCache>
            </c:strRef>
          </c:cat>
          <c:val>
            <c:numRef>
              <c:f>MarketingCampaign!$D$2:$D$6</c:f>
              <c:numCache>
                <c:formatCode>General</c:formatCode>
                <c:ptCount val="5"/>
                <c:pt idx="0">
                  <c:v>7500</c:v>
                </c:pt>
                <c:pt idx="1">
                  <c:v>14500</c:v>
                </c:pt>
                <c:pt idx="2">
                  <c:v>5200</c:v>
                </c:pt>
                <c:pt idx="3">
                  <c:v>10000</c:v>
                </c:pt>
                <c:pt idx="4">
                  <c:v>5800</c:v>
                </c:pt>
              </c:numCache>
            </c:numRef>
          </c:val>
          <c:smooth val="0"/>
          <c:extLst>
            <c:ext xmlns:c16="http://schemas.microsoft.com/office/drawing/2014/chart" uri="{C3380CC4-5D6E-409C-BE32-E72D297353CC}">
              <c16:uniqueId val="{00000001-DFD4-42FF-A107-174E24290F40}"/>
            </c:ext>
          </c:extLst>
        </c:ser>
        <c:dLbls>
          <c:showLegendKey val="0"/>
          <c:showVal val="0"/>
          <c:showCatName val="0"/>
          <c:showSerName val="0"/>
          <c:showPercent val="0"/>
          <c:showBubbleSize val="0"/>
        </c:dLbls>
        <c:marker val="1"/>
        <c:smooth val="0"/>
        <c:axId val="477120592"/>
        <c:axId val="477115792"/>
      </c:lineChart>
      <c:catAx>
        <c:axId val="4771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77169552"/>
        <c:crosses val="autoZero"/>
        <c:auto val="1"/>
        <c:lblAlgn val="ctr"/>
        <c:lblOffset val="100"/>
        <c:noMultiLvlLbl val="0"/>
      </c:catAx>
      <c:valAx>
        <c:axId val="47716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77166192"/>
        <c:crosses val="autoZero"/>
        <c:crossBetween val="between"/>
      </c:valAx>
      <c:valAx>
        <c:axId val="4771157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77120592"/>
        <c:crosses val="max"/>
        <c:crossBetween val="between"/>
      </c:valAx>
      <c:catAx>
        <c:axId val="477120592"/>
        <c:scaling>
          <c:orientation val="minMax"/>
        </c:scaling>
        <c:delete val="1"/>
        <c:axPos val="b"/>
        <c:numFmt formatCode="General" sourceLinked="1"/>
        <c:majorTickMark val="out"/>
        <c:minorTickMark val="none"/>
        <c:tickLblPos val="nextTo"/>
        <c:crossAx val="4771157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4726687-4841-4EB0-91AD-FF30D425A835}">
  <sheetPr/>
  <sheetViews>
    <sheetView zoomScale="117"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542925</xdr:colOff>
      <xdr:row>5</xdr:row>
      <xdr:rowOff>28575</xdr:rowOff>
    </xdr:from>
    <xdr:to>
      <xdr:col>10</xdr:col>
      <xdr:colOff>542925</xdr:colOff>
      <xdr:row>19</xdr:row>
      <xdr:rowOff>28575</xdr:rowOff>
    </xdr:to>
    <mc:AlternateContent xmlns:mc="http://schemas.openxmlformats.org/markup-compatibility/2006">
      <mc:Choice xmlns:sle15="http://schemas.microsoft.com/office/drawing/2012/slicer" Requires="sle15">
        <xdr:graphicFrame macro="">
          <xdr:nvGraphicFramePr>
            <xdr:cNvPr id="2" name="Status">
              <a:extLst>
                <a:ext uri="{FF2B5EF4-FFF2-40B4-BE49-F238E27FC236}">
                  <a16:creationId xmlns:a16="http://schemas.microsoft.com/office/drawing/2014/main" id="{B372BDD5-CAEF-A0BC-34DA-7E30F65D1C8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5686425" y="981075"/>
              <a:ext cx="1828800" cy="2667000"/>
            </a:xfrm>
            <a:prstGeom prst="rect">
              <a:avLst/>
            </a:prstGeom>
            <a:solidFill>
              <a:prstClr val="white"/>
            </a:solidFill>
            <a:ln w="1">
              <a:solidFill>
                <a:prstClr val="green"/>
              </a:solidFill>
            </a:ln>
          </xdr:spPr>
          <xdr:txBody>
            <a:bodyPr vertOverflow="clip" horzOverflow="clip"/>
            <a:lstStyle/>
            <a:p>
              <a:r>
                <a:rPr lang="pl-P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9305192" cy="6081346"/>
    <xdr:graphicFrame macro="">
      <xdr:nvGraphicFramePr>
        <xdr:cNvPr id="2" name="Chart 1">
          <a:extLst>
            <a:ext uri="{FF2B5EF4-FFF2-40B4-BE49-F238E27FC236}">
              <a16:creationId xmlns:a16="http://schemas.microsoft.com/office/drawing/2014/main" id="{4FE33CF6-D1BD-CF76-71E2-A02070A42AC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7939E34-8798-46B1-8935-8B56829CFFB3}" autoFormatId="16" applyNumberFormats="0" applyBorderFormats="0" applyFontFormats="0" applyPatternFormats="0" applyAlignmentFormats="0" applyWidthHeightFormats="0">
  <queryTableRefresh nextId="9" unboundColumnsRight="2">
    <queryTableFields count="8">
      <queryTableField id="1" name="EmpID" tableColumnId="1"/>
      <queryTableField id="2" name="LastName" tableColumnId="2"/>
      <queryTableField id="3" name="FirstName" tableColumnId="3"/>
      <queryTableField id="4" name="Dept" tableColumnId="4"/>
      <queryTableField id="5" name="YearsOfService" tableColumnId="5"/>
      <queryTableField id="6" name="Salary" tableColumnId="6"/>
      <queryTableField id="7" dataBound="0" tableColumnId="7"/>
      <queryTableField id="8" dataBound="0"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62F1A0D-417A-45C9-B6D7-8F1302519CE5}" autoFormatId="16" applyNumberFormats="0" applyBorderFormats="0" applyFontFormats="0" applyPatternFormats="0" applyAlignmentFormats="0" applyWidthHeightFormats="0">
  <queryTableRefresh nextId="7">
    <queryTableFields count="6">
      <queryTableField id="1" name="CampaignName" tableColumnId="1"/>
      <queryTableField id="2" name="Platform" tableColumnId="2"/>
      <queryTableField id="3" name="Budget" tableColumnId="3"/>
      <queryTableField id="4" name="Spend" tableColumnId="4"/>
      <queryTableField id="5" name="Conversions" tableColumnId="5"/>
      <queryTableField id="6" name="CPA"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947FEBE6-0664-45F9-861D-11055B68F822}" autoFormatId="16" applyNumberFormats="0" applyBorderFormats="0" applyFontFormats="0" applyPatternFormats="0" applyAlignmentFormats="0" applyWidthHeightFormats="0">
  <queryTableRefresh nextId="9" unboundColumnsRight="2">
    <queryTableFields count="7">
      <queryTableField id="1" name="Category" tableColumnId="1"/>
      <queryTableField id="2" name="Q1" tableColumnId="2"/>
      <queryTableField id="3" name="Q2" tableColumnId="3"/>
      <queryTableField id="4" name="Q3" tableColumnId="4"/>
      <queryTableField id="5" name="Q4" tableColumnId="5"/>
      <queryTableField id="6" dataBound="0"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672F27B-B347-4EA8-B483-A5F7AB382450}" sourceName="Status">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58C8D28-405B-4929-B0B1-3494154C2E40}" cache="Slicer_Status" caption="Statu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1F2CB8-1525-4063-A0DA-C26DB14434ED}" name="HR_Records" displayName="HR_Records" ref="A1:H8" tableType="queryTable" totalsRowShown="0">
  <autoFilter ref="A1:H8" xr:uid="{A61F2CB8-1525-4063-A0DA-C26DB14434ED}"/>
  <tableColumns count="8">
    <tableColumn id="1" xr3:uid="{4FEEE8E1-5E0F-4B0F-92B3-599239C9A7F1}" uniqueName="1" name="EmpID" queryTableFieldId="1" dataDxfId="26"/>
    <tableColumn id="2" xr3:uid="{787734CF-DE44-43A9-9722-F493655018D3}" uniqueName="2" name="LastName" queryTableFieldId="2" dataDxfId="25"/>
    <tableColumn id="3" xr3:uid="{68C54835-AF71-4BDD-BFCB-F3A83AE3320F}" uniqueName="3" name="FirstName" queryTableFieldId="3" dataDxfId="24"/>
    <tableColumn id="4" xr3:uid="{699B9F95-793B-41BA-90D3-7771C3BBAD6F}" uniqueName="4" name="Dept" queryTableFieldId="4" dataDxfId="23"/>
    <tableColumn id="5" xr3:uid="{209AB949-8F69-408A-9DA6-C8EAE54F2E96}" uniqueName="5" name="YearsOfService" queryTableFieldId="5"/>
    <tableColumn id="6" xr3:uid="{561AFB02-1DDC-4A3A-8767-B55D3E745370}" uniqueName="6" name="Salary" queryTableFieldId="6"/>
    <tableColumn id="7" xr3:uid="{8A95DF58-6C4D-4F60-85A8-2ED338DC59D0}" uniqueName="7" name="FullName" queryTableFieldId="7" dataDxfId="19">
      <calculatedColumnFormula>_xlfn.CONCAT(HR_Records[[#This Row],[FirstName]], " ",HR_Records[[#This Row],[LastName]])</calculatedColumnFormula>
    </tableColumn>
    <tableColumn id="8" xr3:uid="{ECF12B90-02BB-4D6A-B091-3F7FE9CF95C2}" uniqueName="8" name="Bonus" queryTableFieldId="8" dataDxfId="18">
      <calculatedColumnFormula>IF(HR_Records[[#This Row],[YearsOfService]]&gt;5,HR_Records[[#This Row],[Salary]]*0.1,HR_Records[[#This Row],[Salary]]*0.05)</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424B8-A34D-4875-AEF5-8C37B18CE9D5}" name="Table1" displayName="Table1" ref="A1:G5" totalsRowCount="1" headerRowDxfId="17" dataDxfId="16" tableBorderDxfId="15">
  <autoFilter ref="A1:G4" xr:uid="{5A6424B8-A34D-4875-AEF5-8C37B18CE9D5}"/>
  <tableColumns count="7">
    <tableColumn id="1" xr3:uid="{F1DAEE9B-26D8-42EA-8022-152B696133BF}" name="ShipmentID" totalsRowFunction="count" dataDxfId="14" totalsRowDxfId="7"/>
    <tableColumn id="2" xr3:uid="{34F42AAA-47C8-48E9-81C7-ECFFC50E7E10}" name="Warehouse" dataDxfId="13" totalsRowDxfId="6"/>
    <tableColumn id="3" xr3:uid="{458626EF-0464-4ACB-A962-C5E274F3D695}" name="Destination" dataDxfId="12" totalsRowDxfId="5"/>
    <tableColumn id="4" xr3:uid="{066BD592-104C-4447-9072-0DF15D511B9A}" name="Weight" dataDxfId="11" totalsRowDxfId="4"/>
    <tableColumn id="5" xr3:uid="{FA6A4A52-841C-4AA3-BF67-519FA592C6A3}" name="Status" dataDxfId="10" totalsRowDxfId="3"/>
    <tableColumn id="6" xr3:uid="{23FB597C-DF0C-44E4-8A1F-B975CBA2A42C}" name="Cost" dataDxfId="9" totalsRowDxfId="2"/>
    <tableColumn id="7" xr3:uid="{512B412B-F350-481C-AA65-69DF27E7FCE2}" name="Trend" dataDxfId="8" totalsRow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F81D7E-DAD3-4903-B892-6881DC9A6227}" name="MarketingCampaign" displayName="MarketingCampaign" ref="A1:F6" tableType="queryTable" totalsRowShown="0">
  <autoFilter ref="A1:F6" xr:uid="{27F81D7E-DAD3-4903-B892-6881DC9A6227}"/>
  <sortState xmlns:xlrd2="http://schemas.microsoft.com/office/spreadsheetml/2017/richdata2" ref="A2:F6">
    <sortCondition ref="B2:B6"/>
    <sortCondition descending="1" ref="F2:F6"/>
  </sortState>
  <tableColumns count="6">
    <tableColumn id="1" xr3:uid="{72D6A7C3-91D8-41C8-832B-C75AFA597DEC}" uniqueName="1" name="CampaignName" queryTableFieldId="1" dataDxfId="22"/>
    <tableColumn id="2" xr3:uid="{58BCF11C-0155-4A4C-907D-0D341F7403D4}" uniqueName="2" name="Platform" queryTableFieldId="2" dataDxfId="21"/>
    <tableColumn id="3" xr3:uid="{72DF0DB0-E8F5-476F-BA53-4095951A8970}" uniqueName="3" name="Budget" queryTableFieldId="3"/>
    <tableColumn id="4" xr3:uid="{6F515733-4051-4433-97F4-BE6A62B90CB0}" uniqueName="4" name="Spend" queryTableFieldId="4"/>
    <tableColumn id="5" xr3:uid="{A7EB2FC6-922D-4458-9C09-823E7F7E51FD}" uniqueName="5" name="Conversions" queryTableFieldId="5"/>
    <tableColumn id="6" xr3:uid="{0C0E2BB3-7DCD-404C-9CDE-D94652DC0281}" uniqueName="6" name="CPA" queryTableFieldId="6"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6222D5-DCBA-41E8-A058-5457706641F2}" name="Summary_Setup" displayName="Summary_Setup" ref="A1:G6" tableType="queryTable" totalsRowCount="1">
  <autoFilter ref="A1:G5" xr:uid="{A86222D5-DCBA-41E8-A058-5457706641F2}"/>
  <tableColumns count="7">
    <tableColumn id="1" xr3:uid="{BCB5FCA5-A8C9-43A0-B657-66120A1C18B2}" uniqueName="1" name="Category" queryTableFieldId="1" dataDxfId="27" totalsRowDxfId="0"/>
    <tableColumn id="2" xr3:uid="{8C10468E-D4FC-4B92-8EED-C0C45C3C1ACD}" uniqueName="2" name="Q1" queryTableFieldId="2"/>
    <tableColumn id="3" xr3:uid="{92150EB8-FDA5-48A1-A5BE-85D39371545A}" uniqueName="3" name="Q2" queryTableFieldId="3"/>
    <tableColumn id="4" xr3:uid="{EF1EFD77-F9D2-4716-8698-A2DBC29CB610}" uniqueName="4" name="Q3" queryTableFieldId="4"/>
    <tableColumn id="5" xr3:uid="{AF163920-EBDF-4D2B-ACEF-F81BCB60EC44}" uniqueName="5" name="Q4" queryTableFieldId="5"/>
    <tableColumn id="6" xr3:uid="{1141E215-AAAA-4F1B-AC14-65E33B46A652}" uniqueName="6" name="Total" totalsRowFunction="custom" queryTableFieldId="6">
      <calculatedColumnFormula>SUM(Summary_Setup[[#This Row],[Q1]:[Q4]])</calculatedColumnFormula>
      <totalsRowFormula>SUM(Summary_Setup[Total])</totalsRowFormula>
    </tableColumn>
    <tableColumn id="7" xr3:uid="{F123324E-737A-45EF-89E5-D08952C47A77}" uniqueName="7" name="% of Total" queryTableFieldId="7">
      <calculatedColumnFormula>Summary_Setup[[#This Row],[Total]]/Summary_Setup[[#Totals],[Total]]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www.microsoft.com/"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5677-E974-4D8A-8D49-2D0916F4519D}">
  <sheetPr>
    <tabColor rgb="FFFF0000"/>
    <pageSetUpPr fitToPage="1"/>
  </sheetPr>
  <dimension ref="A1:G9"/>
  <sheetViews>
    <sheetView workbookViewId="0">
      <selection sqref="A1:A1048576"/>
    </sheetView>
  </sheetViews>
  <sheetFormatPr defaultRowHeight="15" x14ac:dyDescent="0.25"/>
  <cols>
    <col min="1" max="1" width="13" bestFit="1" customWidth="1"/>
    <col min="2" max="2" width="10.42578125" bestFit="1" customWidth="1"/>
    <col min="3" max="3" width="13.140625" bestFit="1" customWidth="1"/>
    <col min="4" max="4" width="13" bestFit="1" customWidth="1"/>
    <col min="5" max="5" width="13.7109375" bestFit="1" customWidth="1"/>
    <col min="6" max="6" width="14.5703125" bestFit="1" customWidth="1"/>
    <col min="7" max="7" width="9.28515625" bestFit="1" customWidth="1"/>
  </cols>
  <sheetData>
    <row r="1" spans="1:7" ht="20.25" thickBot="1" x14ac:dyDescent="0.35">
      <c r="A1" s="5" t="s">
        <v>0</v>
      </c>
      <c r="B1" s="6" t="s">
        <v>1</v>
      </c>
      <c r="C1" s="6" t="s">
        <v>2</v>
      </c>
      <c r="D1" s="6" t="s">
        <v>3</v>
      </c>
      <c r="E1" s="6" t="s">
        <v>4</v>
      </c>
      <c r="F1" s="6" t="s">
        <v>5</v>
      </c>
      <c r="G1" s="7" t="s">
        <v>90</v>
      </c>
    </row>
    <row r="2" spans="1:7" ht="15.75" thickTop="1" x14ac:dyDescent="0.25">
      <c r="A2" s="8">
        <v>2001</v>
      </c>
      <c r="B2" s="9" t="s">
        <v>6</v>
      </c>
      <c r="C2" s="10" t="s">
        <v>7</v>
      </c>
      <c r="D2" s="10" t="s">
        <v>8</v>
      </c>
      <c r="E2" s="10">
        <v>150</v>
      </c>
      <c r="F2" s="11">
        <v>12.5</v>
      </c>
      <c r="G2" s="12">
        <f>GlobalSales!$E2*GlobalSales!$F2</f>
        <v>1875</v>
      </c>
    </row>
    <row r="3" spans="1:7" x14ac:dyDescent="0.25">
      <c r="A3" s="13">
        <v>2002</v>
      </c>
      <c r="B3" s="14">
        <v>46331</v>
      </c>
      <c r="C3" s="15" t="s">
        <v>10</v>
      </c>
      <c r="D3" s="15" t="s">
        <v>11</v>
      </c>
      <c r="E3" s="15">
        <v>85</v>
      </c>
      <c r="F3" s="23">
        <v>25</v>
      </c>
      <c r="G3" s="16">
        <f>GlobalSales!$E3*GlobalSales!$F3</f>
        <v>2125</v>
      </c>
    </row>
    <row r="4" spans="1:7" x14ac:dyDescent="0.25">
      <c r="A4" s="17">
        <v>2003</v>
      </c>
      <c r="B4" s="18" t="s">
        <v>9</v>
      </c>
      <c r="C4" s="19" t="s">
        <v>7</v>
      </c>
      <c r="D4" s="19" t="s">
        <v>8</v>
      </c>
      <c r="E4" s="19">
        <v>200</v>
      </c>
      <c r="F4" s="24">
        <v>12.5</v>
      </c>
      <c r="G4" s="20">
        <f>GlobalSales!$E4*GlobalSales!$F4</f>
        <v>2500</v>
      </c>
    </row>
    <row r="5" spans="1:7" x14ac:dyDescent="0.25">
      <c r="A5" s="13">
        <v>2004</v>
      </c>
      <c r="B5" s="21" t="s">
        <v>12</v>
      </c>
      <c r="C5" s="15" t="s">
        <v>13</v>
      </c>
      <c r="D5" s="15" t="s">
        <v>14</v>
      </c>
      <c r="E5" s="15">
        <v>45</v>
      </c>
      <c r="F5" s="23">
        <v>100</v>
      </c>
      <c r="G5" s="16">
        <f>GlobalSales!$E5*GlobalSales!$F5</f>
        <v>4500</v>
      </c>
    </row>
    <row r="6" spans="1:7" x14ac:dyDescent="0.25">
      <c r="A6" s="17">
        <v>2005</v>
      </c>
      <c r="B6" s="18" t="s">
        <v>15</v>
      </c>
      <c r="C6" s="19" t="s">
        <v>10</v>
      </c>
      <c r="D6" s="19" t="s">
        <v>11</v>
      </c>
      <c r="E6" s="19">
        <v>120</v>
      </c>
      <c r="F6" s="24">
        <v>25</v>
      </c>
      <c r="G6" s="20">
        <f>GlobalSales!$E6*GlobalSales!$F6</f>
        <v>3000</v>
      </c>
    </row>
    <row r="7" spans="1:7" x14ac:dyDescent="0.25">
      <c r="A7" s="13">
        <v>2006</v>
      </c>
      <c r="B7" s="21" t="s">
        <v>16</v>
      </c>
      <c r="C7" s="15" t="s">
        <v>17</v>
      </c>
      <c r="D7" s="15" t="s">
        <v>8</v>
      </c>
      <c r="E7" s="15">
        <v>300</v>
      </c>
      <c r="F7" s="23">
        <v>12</v>
      </c>
      <c r="G7" s="16">
        <f>GlobalSales!$E7*GlobalSales!$F7</f>
        <v>3600</v>
      </c>
    </row>
    <row r="8" spans="1:7" x14ac:dyDescent="0.25">
      <c r="A8" s="17">
        <v>2007</v>
      </c>
      <c r="B8" s="18" t="s">
        <v>16</v>
      </c>
      <c r="C8" s="19" t="s">
        <v>13</v>
      </c>
      <c r="D8" s="19" t="s">
        <v>14</v>
      </c>
      <c r="E8" s="19">
        <v>60</v>
      </c>
      <c r="F8" s="24">
        <v>100</v>
      </c>
      <c r="G8" s="20">
        <f>GlobalSales!$E8*GlobalSales!$F8</f>
        <v>6000</v>
      </c>
    </row>
    <row r="9" spans="1:7" x14ac:dyDescent="0.25">
      <c r="A9" s="1">
        <v>2008</v>
      </c>
      <c r="B9" s="22" t="s">
        <v>18</v>
      </c>
      <c r="C9" s="2" t="s">
        <v>7</v>
      </c>
      <c r="D9" s="2" t="s">
        <v>11</v>
      </c>
      <c r="E9" s="2">
        <v>90</v>
      </c>
      <c r="F9" s="25">
        <v>26</v>
      </c>
      <c r="G9" s="3">
        <f>GlobalSales!$E9*GlobalSales!$F9</f>
        <v>2340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471A-81E1-4852-917B-681655639B46}">
  <dimension ref="A1:H11"/>
  <sheetViews>
    <sheetView zoomScaleNormal="100" workbookViewId="0">
      <pane xSplit="2" topLeftCell="C1" activePane="topRight" state="frozen"/>
      <selection pane="topRight" activeCell="G23" sqref="G23"/>
    </sheetView>
  </sheetViews>
  <sheetFormatPr defaultRowHeight="15" x14ac:dyDescent="0.25"/>
  <cols>
    <col min="1" max="1" width="9.28515625" bestFit="1" customWidth="1"/>
    <col min="2" max="2" width="12.28515625" bestFit="1" customWidth="1"/>
    <col min="3" max="3" width="12.5703125" bestFit="1" customWidth="1"/>
    <col min="4" max="4" width="9.7109375" bestFit="1" customWidth="1"/>
    <col min="5" max="5" width="17.28515625" hidden="1" customWidth="1"/>
    <col min="6" max="6" width="8.7109375" bestFit="1" customWidth="1"/>
    <col min="7" max="7" width="16" bestFit="1" customWidth="1"/>
  </cols>
  <sheetData>
    <row r="1" spans="1:8" x14ac:dyDescent="0.25">
      <c r="A1" t="s">
        <v>19</v>
      </c>
      <c r="B1" t="s">
        <v>20</v>
      </c>
      <c r="C1" t="s">
        <v>21</v>
      </c>
      <c r="D1" t="s">
        <v>22</v>
      </c>
      <c r="E1" t="s">
        <v>23</v>
      </c>
      <c r="F1" t="s">
        <v>24</v>
      </c>
      <c r="G1" t="s">
        <v>91</v>
      </c>
      <c r="H1" t="s">
        <v>92</v>
      </c>
    </row>
    <row r="2" spans="1:8" x14ac:dyDescent="0.25">
      <c r="A2" t="s">
        <v>25</v>
      </c>
      <c r="B2" t="s">
        <v>26</v>
      </c>
      <c r="C2" t="s">
        <v>27</v>
      </c>
      <c r="D2" t="s">
        <v>28</v>
      </c>
      <c r="E2">
        <v>3</v>
      </c>
      <c r="F2">
        <v>45000</v>
      </c>
      <c r="G2" s="26" t="str">
        <f>_xlfn.CONCAT(HR_Records[[#This Row],[FirstName]], " ",HR_Records[[#This Row],[LastName]])</f>
        <v>John Smith</v>
      </c>
      <c r="H2" s="26">
        <f>IF(HR_Records[[#This Row],[YearsOfService]]&gt;5,HR_Records[[#This Row],[Salary]]*0.1,HR_Records[[#This Row],[Salary]]*0.05)</f>
        <v>2250</v>
      </c>
    </row>
    <row r="3" spans="1:8" x14ac:dyDescent="0.25">
      <c r="A3" t="s">
        <v>29</v>
      </c>
      <c r="B3" t="s">
        <v>30</v>
      </c>
      <c r="C3" t="s">
        <v>31</v>
      </c>
      <c r="D3" t="s">
        <v>32</v>
      </c>
      <c r="E3">
        <v>6</v>
      </c>
      <c r="F3">
        <v>75000</v>
      </c>
      <c r="G3" s="26" t="str">
        <f>_xlfn.CONCAT(HR_Records[[#This Row],[FirstName]], " ",HR_Records[[#This Row],[LastName]])</f>
        <v>Jane Doe</v>
      </c>
      <c r="H3" s="26">
        <f>IF(HR_Records[[#This Row],[YearsOfService]]&gt;5,HR_Records[[#This Row],[Salary]]*0.1,HR_Records[[#This Row],[Salary]]*0.05)</f>
        <v>7500</v>
      </c>
    </row>
    <row r="4" spans="1:8" x14ac:dyDescent="0.25">
      <c r="A4" t="s">
        <v>33</v>
      </c>
      <c r="B4" t="s">
        <v>34</v>
      </c>
      <c r="C4" t="s">
        <v>35</v>
      </c>
      <c r="D4" s="27" t="s">
        <v>36</v>
      </c>
      <c r="E4">
        <v>2</v>
      </c>
      <c r="F4">
        <v>42000</v>
      </c>
      <c r="G4" s="26" t="str">
        <f>_xlfn.CONCAT(HR_Records[[#This Row],[FirstName]], " ",HR_Records[[#This Row],[LastName]])</f>
        <v>William Brown</v>
      </c>
      <c r="H4" s="26">
        <f>IF(HR_Records[[#This Row],[YearsOfService]]&gt;5,HR_Records[[#This Row],[Salary]]*0.1,HR_Records[[#This Row],[Salary]]*0.05)</f>
        <v>2100</v>
      </c>
    </row>
    <row r="5" spans="1:8" x14ac:dyDescent="0.25">
      <c r="A5" t="s">
        <v>37</v>
      </c>
      <c r="B5" t="s">
        <v>38</v>
      </c>
      <c r="C5" t="s">
        <v>39</v>
      </c>
      <c r="D5" t="s">
        <v>28</v>
      </c>
      <c r="E5">
        <v>8</v>
      </c>
      <c r="F5">
        <v>52000</v>
      </c>
      <c r="G5" s="26" t="str">
        <f>_xlfn.CONCAT(HR_Records[[#This Row],[FirstName]], " ",HR_Records[[#This Row],[LastName]])</f>
        <v>Michael Johnson</v>
      </c>
      <c r="H5" s="26">
        <f>IF(HR_Records[[#This Row],[YearsOfService]]&gt;5,HR_Records[[#This Row],[Salary]]*0.1,HR_Records[[#This Row],[Salary]]*0.05)</f>
        <v>5200</v>
      </c>
    </row>
    <row r="6" spans="1:8" x14ac:dyDescent="0.25">
      <c r="A6" t="s">
        <v>40</v>
      </c>
      <c r="B6" t="s">
        <v>41</v>
      </c>
      <c r="C6" t="s">
        <v>42</v>
      </c>
      <c r="D6" t="s">
        <v>32</v>
      </c>
      <c r="E6">
        <v>1</v>
      </c>
      <c r="F6">
        <v>68000</v>
      </c>
      <c r="G6" s="26" t="str">
        <f>_xlfn.CONCAT(HR_Records[[#This Row],[FirstName]], " ",HR_Records[[#This Row],[LastName]])</f>
        <v>Emily Davis</v>
      </c>
      <c r="H6" s="26">
        <f>IF(HR_Records[[#This Row],[YearsOfService]]&gt;5,HR_Records[[#This Row],[Salary]]*0.1,HR_Records[[#This Row],[Salary]]*0.05)</f>
        <v>3400</v>
      </c>
    </row>
    <row r="7" spans="1:8" x14ac:dyDescent="0.25">
      <c r="A7" t="s">
        <v>43</v>
      </c>
      <c r="B7" t="s">
        <v>44</v>
      </c>
      <c r="C7" t="s">
        <v>45</v>
      </c>
      <c r="D7" t="s">
        <v>46</v>
      </c>
      <c r="E7">
        <v>5</v>
      </c>
      <c r="F7">
        <v>60000</v>
      </c>
      <c r="G7" s="26" t="str">
        <f>_xlfn.CONCAT(HR_Records[[#This Row],[FirstName]], " ",HR_Records[[#This Row],[LastName]])</f>
        <v>Jessica Wilson</v>
      </c>
      <c r="H7" s="26">
        <f>IF(HR_Records[[#This Row],[YearsOfService]]&gt;5,HR_Records[[#This Row],[Salary]]*0.1,HR_Records[[#This Row],[Salary]]*0.05)</f>
        <v>3000</v>
      </c>
    </row>
    <row r="8" spans="1:8" x14ac:dyDescent="0.25">
      <c r="A8" t="s">
        <v>47</v>
      </c>
      <c r="B8" t="s">
        <v>48</v>
      </c>
      <c r="C8" t="s">
        <v>49</v>
      </c>
      <c r="D8" t="s">
        <v>28</v>
      </c>
      <c r="E8">
        <v>10</v>
      </c>
      <c r="F8">
        <v>58000</v>
      </c>
      <c r="G8" s="26" t="str">
        <f>_xlfn.CONCAT(HR_Records[[#This Row],[FirstName]], " ",HR_Records[[#This Row],[LastName]])</f>
        <v>David Moore</v>
      </c>
      <c r="H8" s="26">
        <f>IF(HR_Records[[#This Row],[YearsOfService]]&gt;5,HR_Records[[#This Row],[Salary]]*0.1,HR_Records[[#This Row],[Salary]]*0.05)</f>
        <v>5800</v>
      </c>
    </row>
    <row r="11" spans="1:8" x14ac:dyDescent="0.25">
      <c r="A11" s="28" t="s">
        <v>93</v>
      </c>
    </row>
  </sheetData>
  <dataValidations disablePrompts="1" count="3">
    <dataValidation type="list" allowBlank="1" showInputMessage="1" showErrorMessage="1" sqref="D4" xr:uid="{38E819D3-E9B0-42BB-80CE-A1B9AD7487D1}">
      <formula1>"IT, Sales,HR,Marketing"</formula1>
    </dataValidation>
    <dataValidation type="list" allowBlank="1" showInputMessage="1" showErrorMessage="1" sqref="D8" xr:uid="{AB32A0ED-BEA4-4C61-940E-CF2482BDEE89}">
      <formula1>"IT,Sales"</formula1>
    </dataValidation>
    <dataValidation type="list" allowBlank="1" showInputMessage="1" showErrorMessage="1" sqref="D5" xr:uid="{128FF4CF-9C72-494B-8678-191E68795B22}">
      <formula1>"IT,HR,Marketing,Sales"</formula1>
    </dataValidation>
  </dataValidations>
  <hyperlinks>
    <hyperlink ref="A11" r:id="rId1" display="http://www.microsoft.com" xr:uid="{66BDEF92-EE08-4986-B6EC-859E90A482AF}"/>
  </hyperlinks>
  <pageMargins left="0.7" right="0.7" top="0.75" bottom="0.75" header="0.3" footer="0.3"/>
  <pageSetup paperSize="9"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739B2-8CF2-482F-B24C-058039798399}">
  <dimension ref="A1:H5"/>
  <sheetViews>
    <sheetView workbookViewId="0">
      <selection activeCell="F2" sqref="F2"/>
    </sheetView>
  </sheetViews>
  <sheetFormatPr defaultRowHeight="15" x14ac:dyDescent="0.25"/>
  <cols>
    <col min="1" max="1" width="14" bestFit="1" customWidth="1"/>
    <col min="2" max="2" width="13.5703125" bestFit="1" customWidth="1"/>
    <col min="3" max="3" width="13.85546875" bestFit="1" customWidth="1"/>
    <col min="4" max="4" width="9.7109375" bestFit="1" customWidth="1"/>
    <col min="5" max="5" width="9.28515625" bestFit="1" customWidth="1"/>
    <col min="6" max="6" width="7.5703125" bestFit="1" customWidth="1"/>
  </cols>
  <sheetData>
    <row r="1" spans="1:8" x14ac:dyDescent="0.25">
      <c r="A1" s="29" t="s">
        <v>50</v>
      </c>
      <c r="B1" s="29" t="s">
        <v>51</v>
      </c>
      <c r="C1" s="29" t="s">
        <v>52</v>
      </c>
      <c r="D1" s="29" t="s">
        <v>53</v>
      </c>
      <c r="E1" s="29" t="s">
        <v>54</v>
      </c>
      <c r="F1" s="29" t="s">
        <v>55</v>
      </c>
      <c r="G1" s="31" t="s">
        <v>94</v>
      </c>
    </row>
    <row r="2" spans="1:8" x14ac:dyDescent="0.25">
      <c r="A2" s="19" t="s">
        <v>56</v>
      </c>
      <c r="B2" s="19" t="s">
        <v>57</v>
      </c>
      <c r="C2" s="19" t="s">
        <v>58</v>
      </c>
      <c r="D2" s="19">
        <v>450</v>
      </c>
      <c r="E2" s="19" t="s">
        <v>59</v>
      </c>
      <c r="F2" s="19">
        <v>120</v>
      </c>
      <c r="G2" s="30"/>
      <c r="H2">
        <f>COUNTIFS(Table1[Destination],"London",Table1[Status],"Delivered")</f>
        <v>2</v>
      </c>
    </row>
    <row r="3" spans="1:8" x14ac:dyDescent="0.25">
      <c r="A3" s="15" t="s">
        <v>60</v>
      </c>
      <c r="B3" s="15" t="s">
        <v>61</v>
      </c>
      <c r="C3" s="15" t="s">
        <v>62</v>
      </c>
      <c r="D3" s="15">
        <v>800</v>
      </c>
      <c r="E3" s="15" t="s">
        <v>63</v>
      </c>
      <c r="F3" s="15">
        <v>250</v>
      </c>
      <c r="G3" s="30"/>
    </row>
    <row r="4" spans="1:8" x14ac:dyDescent="0.25">
      <c r="A4" s="15" t="s">
        <v>64</v>
      </c>
      <c r="B4" s="15" t="s">
        <v>65</v>
      </c>
      <c r="C4" s="15" t="s">
        <v>58</v>
      </c>
      <c r="D4" s="15">
        <v>550</v>
      </c>
      <c r="E4" s="15" t="s">
        <v>59</v>
      </c>
      <c r="F4" s="15">
        <v>145</v>
      </c>
      <c r="G4" s="30"/>
    </row>
    <row r="5" spans="1:8" x14ac:dyDescent="0.25">
      <c r="A5" s="30">
        <f>SUBTOTAL(103,Table1[ShipmentID])</f>
        <v>3</v>
      </c>
      <c r="B5" s="30"/>
      <c r="C5" s="30"/>
      <c r="D5" s="30"/>
      <c r="E5" s="30"/>
      <c r="F5" s="30"/>
      <c r="G5" s="30"/>
    </row>
  </sheetData>
  <pageMargins left="0.7" right="0.7" top="0.75" bottom="0.75" header="0.3" footer="0.3"/>
  <pageSetup paperSize="9" orientation="portrait" r:id="rId1"/>
  <drawing r:id="rId2"/>
  <tableParts count="1">
    <tablePart r:id="rId3"/>
  </tableParts>
  <extLst>
    <ext xmlns:x14="http://schemas.microsoft.com/office/spreadsheetml/2009/9/main" uri="{05C60535-1F16-4fd2-B633-F4F36F0B64E0}">
      <x14:sparklineGroups xmlns:xm="http://schemas.microsoft.com/office/excel/2006/main">
        <x14:sparklineGroup displayEmptyCellsAs="gap" high="1" xr2:uid="{76296A4E-E00C-44D6-8F5E-57A53F9995B2}">
          <x14:colorSeries rgb="FF00B050"/>
          <x14:colorNegative rgb="FFD00000"/>
          <x14:colorAxis rgb="FF000000"/>
          <x14:colorMarkers rgb="FFD00000"/>
          <x14:colorFirst rgb="FFD00000"/>
          <x14:colorLast rgb="FFD00000"/>
          <x14:colorHigh rgb="FFD00000"/>
          <x14:colorLow rgb="FFD00000"/>
          <x14:sparklines>
            <x14:sparkline>
              <xm:f>Logistics!D3:F3</xm:f>
              <xm:sqref>G3</xm:sqref>
            </x14:sparkline>
            <x14:sparkline>
              <xm:f>Logistics!D4:F4</xm:f>
              <xm:sqref>G4</xm:sqref>
            </x14:sparkline>
          </x14:sparklines>
        </x14:sparklineGroup>
        <x14:sparklineGroup displayEmptyCellsAs="gap" high="1" xr2:uid="{F6E3EFB0-166C-4B96-837A-89765ECD19C3}">
          <x14:colorSeries rgb="FF00B050"/>
          <x14:colorNegative rgb="FFD00000"/>
          <x14:colorAxis rgb="FF000000"/>
          <x14:colorMarkers rgb="FFD00000"/>
          <x14:colorFirst rgb="FFD00000"/>
          <x14:colorLast rgb="FFD00000"/>
          <x14:colorHigh rgb="FFD00000"/>
          <x14:colorLow rgb="FFD00000"/>
          <x14:sparklines>
            <x14:sparkline>
              <xm:f>Logistics!D2:F2</xm:f>
              <xm:sqref>G2</xm:sqref>
            </x14:sparkline>
          </x14:sparklines>
        </x14:sparklineGroup>
      </x14:sparklineGroups>
    </ex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EACE-7EBA-4FD9-969E-CDBD42FCF24B}">
  <dimension ref="A1:F6"/>
  <sheetViews>
    <sheetView workbookViewId="0">
      <selection activeCell="C9" sqref="C9"/>
    </sheetView>
  </sheetViews>
  <sheetFormatPr defaultRowHeight="15" outlineLevelRow="1" x14ac:dyDescent="0.25"/>
  <cols>
    <col min="1" max="1" width="17.7109375" customWidth="1"/>
    <col min="2" max="2" width="11" bestFit="1" customWidth="1"/>
    <col min="3" max="3" width="9.5703125" bestFit="1" customWidth="1"/>
    <col min="4" max="4" width="9" bestFit="1" customWidth="1"/>
    <col min="5" max="5" width="14.7109375" bestFit="1" customWidth="1"/>
    <col min="6" max="6" width="7" bestFit="1" customWidth="1"/>
  </cols>
  <sheetData>
    <row r="1" spans="1:6" outlineLevel="1" x14ac:dyDescent="0.25">
      <c r="A1" t="s">
        <v>66</v>
      </c>
      <c r="B1" t="s">
        <v>67</v>
      </c>
      <c r="C1" t="s">
        <v>68</v>
      </c>
      <c r="D1" t="s">
        <v>69</v>
      </c>
      <c r="E1" t="s">
        <v>70</v>
      </c>
      <c r="F1" t="s">
        <v>71</v>
      </c>
    </row>
    <row r="2" spans="1:6" x14ac:dyDescent="0.25">
      <c r="A2" t="s">
        <v>74</v>
      </c>
      <c r="B2" t="s">
        <v>75</v>
      </c>
      <c r="C2">
        <v>8000</v>
      </c>
      <c r="D2">
        <v>7500</v>
      </c>
      <c r="E2">
        <v>450</v>
      </c>
      <c r="F2">
        <v>16.670000000000002</v>
      </c>
    </row>
    <row r="3" spans="1:6" outlineLevel="1" x14ac:dyDescent="0.25">
      <c r="A3" t="s">
        <v>72</v>
      </c>
      <c r="B3" t="s">
        <v>73</v>
      </c>
      <c r="C3">
        <v>15000</v>
      </c>
      <c r="D3">
        <v>14500</v>
      </c>
      <c r="E3">
        <v>1200</v>
      </c>
      <c r="F3">
        <v>12.08</v>
      </c>
    </row>
    <row r="4" spans="1:6" outlineLevel="1" x14ac:dyDescent="0.25">
      <c r="A4" t="s">
        <v>76</v>
      </c>
      <c r="B4" t="s">
        <v>73</v>
      </c>
      <c r="C4">
        <v>5000</v>
      </c>
      <c r="D4">
        <v>5200</v>
      </c>
      <c r="E4">
        <v>800</v>
      </c>
      <c r="F4">
        <v>6.5</v>
      </c>
    </row>
    <row r="5" spans="1:6" outlineLevel="1" x14ac:dyDescent="0.25">
      <c r="A5" t="s">
        <v>77</v>
      </c>
      <c r="B5" t="s">
        <v>78</v>
      </c>
      <c r="C5">
        <v>12000</v>
      </c>
      <c r="D5">
        <v>10000</v>
      </c>
      <c r="E5">
        <v>150</v>
      </c>
      <c r="F5">
        <v>66.67</v>
      </c>
    </row>
    <row r="6" spans="1:6" outlineLevel="1" x14ac:dyDescent="0.25">
      <c r="A6" t="s">
        <v>79</v>
      </c>
      <c r="B6" t="s">
        <v>80</v>
      </c>
      <c r="C6">
        <v>6000</v>
      </c>
      <c r="D6">
        <v>5800</v>
      </c>
      <c r="E6">
        <v>900</v>
      </c>
      <c r="F6">
        <v>6.44</v>
      </c>
    </row>
  </sheetData>
  <conditionalFormatting sqref="E1:E6">
    <cfRule type="iconSet" priority="1">
      <iconSet iconSet="3Arrows">
        <cfvo type="percent" val="0"/>
        <cfvo type="percent" val="33"/>
        <cfvo type="percent" val="67"/>
      </iconSet>
    </cfRule>
  </conditionalFormatting>
  <pageMargins left="1" right="1" top="1" bottom="1" header="0.5" footer="0.5"/>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4554-6D8A-41D3-B6A1-C1F06C9F4722}">
  <dimension ref="A1:G6"/>
  <sheetViews>
    <sheetView tabSelected="1" zoomScaleNormal="100" workbookViewId="0">
      <selection activeCell="F1" sqref="F1"/>
    </sheetView>
  </sheetViews>
  <sheetFormatPr defaultRowHeight="15" x14ac:dyDescent="0.25"/>
  <cols>
    <col min="1" max="1" width="11.5703125" bestFit="1" customWidth="1"/>
    <col min="2" max="5" width="10" customWidth="1"/>
    <col min="7" max="7" width="12" bestFit="1" customWidth="1"/>
  </cols>
  <sheetData>
    <row r="1" spans="1:7" x14ac:dyDescent="0.25">
      <c r="A1" t="s">
        <v>81</v>
      </c>
      <c r="B1" s="4" t="s">
        <v>82</v>
      </c>
      <c r="C1" s="4" t="s">
        <v>83</v>
      </c>
      <c r="D1" s="4" t="s">
        <v>84</v>
      </c>
      <c r="E1" s="4" t="s">
        <v>85</v>
      </c>
      <c r="F1" t="s">
        <v>90</v>
      </c>
      <c r="G1" t="s">
        <v>95</v>
      </c>
    </row>
    <row r="2" spans="1:7" x14ac:dyDescent="0.25">
      <c r="A2" t="s">
        <v>86</v>
      </c>
      <c r="B2">
        <v>45000</v>
      </c>
      <c r="C2">
        <v>42000</v>
      </c>
      <c r="D2">
        <v>51000</v>
      </c>
      <c r="E2">
        <v>68000</v>
      </c>
      <c r="F2">
        <f>SUM(Summary_Setup[[#This Row],[Q1]:[Q4]])</f>
        <v>206000</v>
      </c>
      <c r="G2" s="32">
        <f>Summary_Setup[[#This Row],[Total]]/Summary_Setup[[#Totals],[Total]]</f>
        <v>0.40711462450592883</v>
      </c>
    </row>
    <row r="3" spans="1:7" x14ac:dyDescent="0.25">
      <c r="A3" t="s">
        <v>87</v>
      </c>
      <c r="B3">
        <v>22000</v>
      </c>
      <c r="C3">
        <v>24000</v>
      </c>
      <c r="D3">
        <v>23000</v>
      </c>
      <c r="E3">
        <v>31000</v>
      </c>
      <c r="F3" s="4">
        <f>SUM(Summary_Setup[[#This Row],[Q1]:[Q4]])</f>
        <v>100000</v>
      </c>
      <c r="G3" s="32">
        <f>Summary_Setup[[#This Row],[Total]]/Summary_Setup[[#Totals],[Total]]</f>
        <v>0.19762845849802371</v>
      </c>
    </row>
    <row r="4" spans="1:7" x14ac:dyDescent="0.25">
      <c r="A4" t="s">
        <v>88</v>
      </c>
      <c r="B4">
        <v>15000</v>
      </c>
      <c r="C4">
        <v>18000</v>
      </c>
      <c r="D4">
        <v>16000</v>
      </c>
      <c r="E4">
        <v>25000</v>
      </c>
      <c r="F4" s="4">
        <f>SUM(Summary_Setup[[#This Row],[Q1]:[Q4]])</f>
        <v>74000</v>
      </c>
      <c r="G4" s="32">
        <f>Summary_Setup[[#This Row],[Total]]/Summary_Setup[[#Totals],[Total]]</f>
        <v>0.14624505928853754</v>
      </c>
    </row>
    <row r="5" spans="1:7" x14ac:dyDescent="0.25">
      <c r="A5" t="s">
        <v>89</v>
      </c>
      <c r="B5">
        <v>30000</v>
      </c>
      <c r="C5">
        <v>31000</v>
      </c>
      <c r="D5">
        <v>30000</v>
      </c>
      <c r="E5">
        <v>35000</v>
      </c>
      <c r="F5" s="4">
        <f>SUM(Summary_Setup[[#This Row],[Q1]:[Q4]])</f>
        <v>126000</v>
      </c>
      <c r="G5" s="32">
        <f>Summary_Setup[[#This Row],[Total]]/Summary_Setup[[#Totals],[Total]]</f>
        <v>0.24901185770750989</v>
      </c>
    </row>
    <row r="6" spans="1:7" x14ac:dyDescent="0.25">
      <c r="A6" s="26"/>
      <c r="F6">
        <f>SUM(Summary_Setup[Total])</f>
        <v>506000</v>
      </c>
    </row>
  </sheetData>
  <sheetProtection sheet="1" objects="1" scenarios="1" selectLockedCells="1"/>
  <printOptions gridLines="1"/>
  <pageMargins left="0.7" right="0.7" top="0.75" bottom="0.75" header="0.3" footer="0.3"/>
  <pageSetup paperSize="9" orientation="portrait" r:id="rId1"/>
  <headerFooter>
    <oddHeader>&amp;R&amp;D</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1F39BE-66A9-4A55-82A6-F39E9CE60B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5</vt:i4>
      </vt:variant>
      <vt:variant>
        <vt:lpstr>Charts</vt:lpstr>
      </vt:variant>
      <vt:variant>
        <vt:i4>1</vt:i4>
      </vt:variant>
      <vt:variant>
        <vt:lpstr>Named Ranges</vt:lpstr>
      </vt:variant>
      <vt:variant>
        <vt:i4>3</vt:i4>
      </vt:variant>
    </vt:vector>
  </HeadingPairs>
  <TitlesOfParts>
    <vt:vector size="9" baseType="lpstr">
      <vt:lpstr>GlobalSales</vt:lpstr>
      <vt:lpstr>HR_Records</vt:lpstr>
      <vt:lpstr>Logistics</vt:lpstr>
      <vt:lpstr>MarketingCampaign</vt:lpstr>
      <vt:lpstr>Summary_Setup</vt:lpstr>
      <vt:lpstr>CampaignViz</vt:lpstr>
      <vt:lpstr>Logistics!Locations</vt:lpstr>
      <vt:lpstr>GlobalSales!Print_Area</vt:lpstr>
      <vt:lpstr>ShippingData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2026-04-28T08:32:59Z</dcterms:created>
  <dcterms:modified xsi:type="dcterms:W3CDTF">2026-04-28T09:09:41Z</dcterms:modified>
</cp:coreProperties>
</file>