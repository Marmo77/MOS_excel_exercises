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slicers/slicer1.xml" ContentType="application/vnd.ms-excel.slicer+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ORUS\Downloads\mos_exl\MOS_excel_exercises\"/>
    </mc:Choice>
  </mc:AlternateContent>
  <xr:revisionPtr revIDLastSave="0" documentId="13_ncr:1_{FAA93DAA-9D2B-4494-8DEC-DC5647D7A71F}" xr6:coauthVersionLast="47" xr6:coauthVersionMax="47" xr10:uidLastSave="{00000000-0000-0000-0000-000000000000}"/>
  <bookViews>
    <workbookView xWindow="-120" yWindow="-120" windowWidth="29040" windowHeight="15720" activeTab="2" xr2:uid="{16068820-10D0-4B3C-A445-31FB436D691C}"/>
  </bookViews>
  <sheets>
    <sheet name="SalesData" sheetId="2" r:id="rId1"/>
    <sheet name="EmployeeRoster" sheetId="1" r:id="rId2"/>
    <sheet name="Inventory" sheetId="3" r:id="rId3"/>
    <sheet name="BudgetChart" sheetId="6" r:id="rId4"/>
    <sheet name="ProjectSummary" sheetId="4" r:id="rId5"/>
    <sheet name="EmployeeRoster (2)" sheetId="5" r:id="rId6"/>
  </sheets>
  <definedNames>
    <definedName name="ExternalData_1" localSheetId="1" hidden="1">EmployeeRoster!$A$1:$F$5</definedName>
    <definedName name="ExternalData_1" localSheetId="5" hidden="1">'EmployeeRoster (2)'!$A$1:$F$5</definedName>
    <definedName name="ExternalData_1" localSheetId="2" hidden="1">Inventory!$A$1:$F$9</definedName>
    <definedName name="ExternalData_1" localSheetId="4" hidden="1">ProjectSummary!$A$1:$E$6</definedName>
    <definedName name="ExternalData_1" localSheetId="0" hidden="1">SalesData!$A$1:$F$11</definedName>
    <definedName name="_xlnm.Print_Area" localSheetId="0">s_d[#All]</definedName>
    <definedName name="Slicer_Manage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 i="4" l="1"/>
  <c r="G4" i="4"/>
  <c r="G5" i="4"/>
  <c r="G6" i="4"/>
  <c r="G3" i="4"/>
  <c r="I2" i="3"/>
  <c r="F10" i="3"/>
  <c r="H3" i="1"/>
  <c r="H4" i="1"/>
  <c r="H5" i="1"/>
  <c r="H2" i="1"/>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686731-215C-4B07-9BBA-FC1296692B93}" keepAlive="1" name="Query - EmployeeRoster" description="Connection to the 'EmployeeRoster' query in the workbook." type="5" refreshedVersion="8" background="1" saveData="1">
    <dbPr connection="Provider=Microsoft.Mashup.OleDb.1;Data Source=$Workbook$;Location=EmployeeRoster;Extended Properties=&quot;&quot;" command="SELECT * FROM [EmployeeRoster]"/>
  </connection>
  <connection id="2" xr16:uid="{EAB4B2B5-B2AB-4422-9669-19E9711D1448}" keepAlive="1" name="Query - EmployeeRoster (2)" description="Connection to the 'EmployeeRoster (2)' query in the workbook." type="5" refreshedVersion="8" background="1" saveData="1">
    <dbPr connection="Provider=Microsoft.Mashup.OleDb.1;Data Source=$Workbook$;Location=&quot;EmployeeRoster (2)&quot;;Extended Properties=&quot;&quot;" command="SELECT * FROM [EmployeeRoster (2)]"/>
  </connection>
  <connection id="3" xr16:uid="{B7C718D3-A589-4C3D-87F8-BCE7B09DDFDB}" keepAlive="1" name="Query - Inventory" description="Connection to the 'Inventory' query in the workbook." type="5" refreshedVersion="0" background="1">
    <dbPr connection="Provider=Microsoft.Mashup.OleDb.1;Data Source=$Workbook$;Location=Inventory;Extended Properties=&quot;&quot;" command="SELECT * FROM [Inventory]"/>
  </connection>
  <connection id="4" xr16:uid="{06FA86ED-1243-4D46-94FD-6911B99D6064}" keepAlive="1" name="Query - Inventory (2)" description="Connection to the 'Inventory (2)' query in the workbook." type="5" refreshedVersion="8" background="1" saveData="1">
    <dbPr connection="Provider=Microsoft.Mashup.OleDb.1;Data Source=$Workbook$;Location=&quot;Inventory (2)&quot;;Extended Properties=&quot;&quot;" command="SELECT * FROM [Inventory (2)]"/>
  </connection>
  <connection id="5" xr16:uid="{43799619-088E-42EB-8065-093AEE4EBCB7}" keepAlive="1" name="Query - ProjectSummary" description="Connection to the 'ProjectSummary' query in the workbook." type="5" refreshedVersion="8" background="1" saveData="1">
    <dbPr connection="Provider=Microsoft.Mashup.OleDb.1;Data Source=$Workbook$;Location=ProjectSummary;Extended Properties=&quot;&quot;" command="SELECT * FROM [ProjectSummary]"/>
  </connection>
  <connection id="6" xr16:uid="{A3FD1895-2FAF-4722-BDC5-B3DEBC952150}" keepAlive="1" name="Query - s_d" description="Connection to the 's_d' query in the workbook." type="5" refreshedVersion="8" background="1" saveData="1">
    <dbPr connection="Provider=Microsoft.Mashup.OleDb.1;Data Source=$Workbook$;Location=s_d;Extended Properties=&quot;&quot;" command="SELECT * FROM [s_d]"/>
  </connection>
</connections>
</file>

<file path=xl/sharedStrings.xml><?xml version="1.0" encoding="utf-8"?>
<sst xmlns="http://schemas.openxmlformats.org/spreadsheetml/2006/main" count="139" uniqueCount="83">
  <si>
    <t>OrderID</t>
  </si>
  <si>
    <t>Date</t>
  </si>
  <si>
    <t>Rep</t>
  </si>
  <si>
    <t>Region</t>
  </si>
  <si>
    <t>Amount</t>
  </si>
  <si>
    <t>Status</t>
  </si>
  <si>
    <t>Smith</t>
  </si>
  <si>
    <t>North</t>
  </si>
  <si>
    <t>Shipped</t>
  </si>
  <si>
    <t>Jones</t>
  </si>
  <si>
    <t>South</t>
  </si>
  <si>
    <t>Processing</t>
  </si>
  <si>
    <t>Brown</t>
  </si>
  <si>
    <t>East</t>
  </si>
  <si>
    <t>White</t>
  </si>
  <si>
    <t>West</t>
  </si>
  <si>
    <t>Pending</t>
  </si>
  <si>
    <t>EmpID</t>
  </si>
  <si>
    <t>FirstName</t>
  </si>
  <si>
    <t>LastName</t>
  </si>
  <si>
    <t>Department</t>
  </si>
  <si>
    <t>Salary</t>
  </si>
  <si>
    <t>HireDate</t>
  </si>
  <si>
    <t>John</t>
  </si>
  <si>
    <t>Doe</t>
  </si>
  <si>
    <t>IT</t>
  </si>
  <si>
    <t>01/15/2020</t>
  </si>
  <si>
    <t>Jane</t>
  </si>
  <si>
    <t>HR</t>
  </si>
  <si>
    <t>03/22/2021</t>
  </si>
  <si>
    <t>Johnson</t>
  </si>
  <si>
    <t>Emily</t>
  </si>
  <si>
    <t>Davis</t>
  </si>
  <si>
    <t>Sales</t>
  </si>
  <si>
    <t>08/10/2022</t>
  </si>
  <si>
    <t>Jessica</t>
  </si>
  <si>
    <t>Wilson</t>
  </si>
  <si>
    <t>Marketing</t>
  </si>
  <si>
    <t>07/30/2020</t>
  </si>
  <si>
    <t>ItemCode</t>
  </si>
  <si>
    <t>Product</t>
  </si>
  <si>
    <t>Category</t>
  </si>
  <si>
    <t>QtyInStock</t>
  </si>
  <si>
    <t>ReorderLevel</t>
  </si>
  <si>
    <t>A10</t>
  </si>
  <si>
    <t>Laptop</t>
  </si>
  <si>
    <t>Electronics</t>
  </si>
  <si>
    <t>A11</t>
  </si>
  <si>
    <t>Mouse</t>
  </si>
  <si>
    <t>Accessories</t>
  </si>
  <si>
    <t>A12</t>
  </si>
  <si>
    <t>Keyboard</t>
  </si>
  <si>
    <t>A13</t>
  </si>
  <si>
    <t>Monitor</t>
  </si>
  <si>
    <t>A14</t>
  </si>
  <si>
    <t>Desk</t>
  </si>
  <si>
    <t>Furniture</t>
  </si>
  <si>
    <t>A15</t>
  </si>
  <si>
    <t>Chair</t>
  </si>
  <si>
    <t>A16</t>
  </si>
  <si>
    <t>Webcam</t>
  </si>
  <si>
    <t>A17</t>
  </si>
  <si>
    <t>Headset</t>
  </si>
  <si>
    <t>ProjectName</t>
  </si>
  <si>
    <t>Manager</t>
  </si>
  <si>
    <t>Budget</t>
  </si>
  <si>
    <t>Spent</t>
  </si>
  <si>
    <t>Completion</t>
  </si>
  <si>
    <t>Alpha</t>
  </si>
  <si>
    <t>Beta</t>
  </si>
  <si>
    <t>Gamma</t>
  </si>
  <si>
    <t>Delta</t>
  </si>
  <si>
    <t>Epsilon</t>
  </si>
  <si>
    <t>Email</t>
  </si>
  <si>
    <t>John.Doe@company.com</t>
  </si>
  <si>
    <t>Jane.Smith@company.com</t>
  </si>
  <si>
    <t>Emily.Davis@company.com</t>
  </si>
  <si>
    <t>Jessica.Wilson@company.com</t>
  </si>
  <si>
    <t>Bonus</t>
  </si>
  <si>
    <t>Prices</t>
  </si>
  <si>
    <t>Stock Trend</t>
  </si>
  <si>
    <t>Total</t>
  </si>
  <si>
    <t>System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</si>
</sst>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sz val="11"/>
      <color theme="1"/>
      <name val="Aptos Narrow"/>
      <family val="2"/>
      <charset val="238"/>
      <scheme val="minor"/>
    </font>
    <font>
      <u/>
      <sz val="11"/>
      <color theme="10"/>
      <name val="Aptos Narrow"/>
      <family val="2"/>
      <charset val="238"/>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5">
    <xf numFmtId="0" fontId="0" fillId="0" borderId="0" xfId="0"/>
    <xf numFmtId="14" fontId="0" fillId="0" borderId="0" xfId="0" applyNumberFormat="1"/>
    <xf numFmtId="0" fontId="0" fillId="0" borderId="0" xfId="0" applyNumberFormat="1"/>
    <xf numFmtId="0" fontId="2" fillId="0" borderId="0" xfId="2" applyNumberFormat="1"/>
    <xf numFmtId="9" fontId="0" fillId="0" borderId="0" xfId="1" applyFont="1"/>
  </cellXfs>
  <cellStyles count="3">
    <cellStyle name="Hyperlink" xfId="2" builtinId="8"/>
    <cellStyle name="Normal" xfId="0" builtinId="0"/>
    <cellStyle name="Percent" xfId="1" builtinId="5"/>
  </cellStyles>
  <dxfs count="21">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sharedStrings" Target="sharedStrings.xml"/><Relationship Id="rId5" Type="http://schemas.openxmlformats.org/officeDocument/2006/relationships/worksheet" Target="worksheets/sheet4.xml"/><Relationship Id="rId10" Type="http://schemas.openxmlformats.org/officeDocument/2006/relationships/styles" Target="styles.xml"/><Relationship Id="rId4" Type="http://schemas.openxmlformats.org/officeDocument/2006/relationships/chartsheet" Target="chartsheets/sheet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strRef>
              <c:f>EmployeeRoster!$E$1</c:f>
              <c:strCache>
                <c:ptCount val="1"/>
                <c:pt idx="0">
                  <c:v>Salary</c:v>
                </c:pt>
              </c:strCache>
            </c:strRef>
          </c:tx>
          <c:spPr>
            <a:solidFill>
              <a:schemeClr val="accent1"/>
            </a:solidFill>
            <a:ln>
              <a:noFill/>
            </a:ln>
            <a:effectLst/>
          </c:spPr>
          <c:invertIfNegative val="0"/>
          <c:cat>
            <c:strRef>
              <c:f>EmployeeRoster!$C$2:$C$5</c:f>
              <c:strCache>
                <c:ptCount val="4"/>
                <c:pt idx="0">
                  <c:v>Doe</c:v>
                </c:pt>
                <c:pt idx="1">
                  <c:v>Smith</c:v>
                </c:pt>
                <c:pt idx="2">
                  <c:v>Davis</c:v>
                </c:pt>
                <c:pt idx="3">
                  <c:v>Wilson</c:v>
                </c:pt>
              </c:strCache>
            </c:strRef>
          </c:cat>
          <c:val>
            <c:numRef>
              <c:f>EmployeeRoster!$E$2:$E$5</c:f>
              <c:numCache>
                <c:formatCode>General</c:formatCode>
                <c:ptCount val="4"/>
                <c:pt idx="0">
                  <c:v>65000</c:v>
                </c:pt>
                <c:pt idx="1">
                  <c:v>55000</c:v>
                </c:pt>
                <c:pt idx="2">
                  <c:v>48000</c:v>
                </c:pt>
                <c:pt idx="3">
                  <c:v>61000</c:v>
                </c:pt>
              </c:numCache>
            </c:numRef>
          </c:val>
          <c:extLst>
            <c:ext xmlns:c16="http://schemas.microsoft.com/office/drawing/2014/chart" uri="{C3380CC4-5D6E-409C-BE32-E72D297353CC}">
              <c16:uniqueId val="{00000000-00D6-432C-A80C-29127CA77A90}"/>
            </c:ext>
          </c:extLst>
        </c:ser>
        <c:dLbls>
          <c:showLegendKey val="0"/>
          <c:showVal val="0"/>
          <c:showCatName val="0"/>
          <c:showSerName val="0"/>
          <c:showPercent val="0"/>
          <c:showBubbleSize val="0"/>
        </c:dLbls>
        <c:gapWidth val="219"/>
        <c:overlap val="-27"/>
        <c:axId val="570296191"/>
        <c:axId val="570291391"/>
      </c:barChart>
      <c:catAx>
        <c:axId val="57029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70291391"/>
        <c:crosses val="autoZero"/>
        <c:auto val="1"/>
        <c:lblAlgn val="ctr"/>
        <c:lblOffset val="100"/>
        <c:noMultiLvlLbl val="0"/>
      </c:catAx>
      <c:valAx>
        <c:axId val="57029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7029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pieChart>
        <c:varyColors val="1"/>
        <c:ser>
          <c:idx val="0"/>
          <c:order val="0"/>
          <c:tx>
            <c:strRef>
              <c:f>ProjectSummary!$C$1</c:f>
              <c:strCache>
                <c:ptCount val="1"/>
                <c:pt idx="0">
                  <c:v>Budget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1F-4AC6-BC0F-BFA6D180A3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1F-4AC6-BC0F-BFA6D180A355}"/>
              </c:ext>
            </c:extLst>
          </c:dPt>
          <c:cat>
            <c:strRef>
              <c:f>ProjectSummary!$A$2:$A$6</c:f>
              <c:strCache>
                <c:ptCount val="2"/>
                <c:pt idx="0">
                  <c:v>Beta</c:v>
                </c:pt>
                <c:pt idx="1">
                  <c:v>Epsilon</c:v>
                </c:pt>
              </c:strCache>
            </c:strRef>
          </c:cat>
          <c:val>
            <c:numRef>
              <c:f>ProjectSummary!$C$2:$C$6</c:f>
              <c:numCache>
                <c:formatCode>General</c:formatCode>
                <c:ptCount val="2"/>
                <c:pt idx="0">
                  <c:v>75000</c:v>
                </c:pt>
                <c:pt idx="1">
                  <c:v>90000</c:v>
                </c:pt>
              </c:numCache>
            </c:numRef>
          </c:val>
          <c:extLst>
            <c:ext xmlns:c16="http://schemas.microsoft.com/office/drawing/2014/chart" uri="{C3380CC4-5D6E-409C-BE32-E72D297353CC}">
              <c16:uniqueId val="{00000004-211F-4AC6-BC0F-BFA6D180A35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CF49896-56F3-4535-B6F0-22B9146A4CCE}">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4762</xdr:rowOff>
    </xdr:from>
    <xdr:to>
      <xdr:col>16</xdr:col>
      <xdr:colOff>0</xdr:colOff>
      <xdr:row>15</xdr:row>
      <xdr:rowOff>0</xdr:rowOff>
    </xdr:to>
    <xdr:graphicFrame macro="">
      <xdr:nvGraphicFramePr>
        <xdr:cNvPr id="2" name="Chart 1">
          <a:extLst>
            <a:ext uri="{FF2B5EF4-FFF2-40B4-BE49-F238E27FC236}">
              <a16:creationId xmlns:a16="http://schemas.microsoft.com/office/drawing/2014/main" id="{EF95A2B2-7766-78F6-7C9B-A6D64A0D5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297051" cy="6073205"/>
    <xdr:graphicFrame macro="">
      <xdr:nvGraphicFramePr>
        <xdr:cNvPr id="2" name="Chart 1" descr="Project Allocations">
          <a:extLst>
            <a:ext uri="{FF2B5EF4-FFF2-40B4-BE49-F238E27FC236}">
              <a16:creationId xmlns:a16="http://schemas.microsoft.com/office/drawing/2014/main" id="{33A80F83-266C-C638-034C-25E0211EDDD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absolute">
    <xdr:from>
      <xdr:col>0</xdr:col>
      <xdr:colOff>981075</xdr:colOff>
      <xdr:row>15</xdr:row>
      <xdr:rowOff>0</xdr:rowOff>
    </xdr:from>
    <xdr:to>
      <xdr:col>3</xdr:col>
      <xdr:colOff>447675</xdr:colOff>
      <xdr:row>29</xdr:row>
      <xdr:rowOff>0</xdr:rowOff>
    </xdr:to>
    <mc:AlternateContent xmlns:mc="http://schemas.openxmlformats.org/markup-compatibility/2006">
      <mc:Choice xmlns:sle15="http://schemas.microsoft.com/office/drawing/2012/slicer" Requires="sle15">
        <xdr:graphicFrame macro="">
          <xdr:nvGraphicFramePr>
            <xdr:cNvPr id="2" name="Manager">
              <a:extLst>
                <a:ext uri="{FF2B5EF4-FFF2-40B4-BE49-F238E27FC236}">
                  <a16:creationId xmlns:a16="http://schemas.microsoft.com/office/drawing/2014/main" id="{2775425B-F6D4-614A-939C-E12446FC7752}"/>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981075" y="2286000"/>
              <a:ext cx="1828800" cy="2667000"/>
            </a:xfrm>
            <a:prstGeom prst="rect">
              <a:avLst/>
            </a:prstGeom>
            <a:solidFill>
              <a:prstClr val="white"/>
            </a:solidFill>
            <a:ln w="1">
              <a:solidFill>
                <a:prstClr val="green"/>
              </a:solidFill>
            </a:ln>
          </xdr:spPr>
          <xdr:txBody>
            <a:bodyPr vertOverflow="clip" horzOverflow="clip"/>
            <a:lstStyle/>
            <a:p>
              <a:r>
                <a:rPr lang="pl-P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0D51D382-A9D6-454C-88E9-72A231E6A44D}" autoFormatId="16" applyNumberFormats="0" applyBorderFormats="0" applyFontFormats="0" applyPatternFormats="0" applyAlignmentFormats="0" applyWidthHeightFormats="0">
  <queryTableRefresh nextId="7">
    <queryTableFields count="6">
      <queryTableField id="1" name="OrderID" tableColumnId="1"/>
      <queryTableField id="2" name="Date" tableColumnId="2"/>
      <queryTableField id="3" name="Rep" tableColumnId="3"/>
      <queryTableField id="4" name="Region" tableColumnId="4"/>
      <queryTableField id="5" name="Amount" tableColumnId="5"/>
      <queryTableField id="6" name="Status"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DE9EDE2-6F02-45DD-8F3D-60BE72C83128}" autoFormatId="16" applyNumberFormats="0" applyBorderFormats="0" applyFontFormats="0" applyPatternFormats="0" applyAlignmentFormats="0" applyWidthHeightFormats="0">
  <queryTableRefresh nextId="9" unboundColumnsRight="2">
    <queryTableFields count="8">
      <queryTableField id="1" name="EmpID" tableColumnId="1"/>
      <queryTableField id="2" name="FirstName" tableColumnId="2"/>
      <queryTableField id="3" name="LastName" tableColumnId="3"/>
      <queryTableField id="4" name="Department" tableColumnId="4"/>
      <queryTableField id="5" name="Salary" tableColumnId="5"/>
      <queryTableField id="6" name="HireDate" tableColumnId="6"/>
      <queryTableField id="7" dataBound="0"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8122D02A-F95A-4BF6-91C3-BAC2C66F829B}" autoFormatId="16" applyNumberFormats="0" applyBorderFormats="0" applyFontFormats="0" applyPatternFormats="0" applyAlignmentFormats="0" applyWidthHeightFormats="0">
  <queryTableRefresh nextId="8" unboundColumnsRight="1">
    <queryTableFields count="7">
      <queryTableField id="1" name="ItemCode" tableColumnId="1"/>
      <queryTableField id="2" name="Product" tableColumnId="2"/>
      <queryTableField id="3" name="Category" tableColumnId="3"/>
      <queryTableField id="4" name="QtyInStock" tableColumnId="4"/>
      <queryTableField id="5" name="ReorderLevel" tableColumnId="5"/>
      <queryTableField id="6" name="UnitPrice" tableColumnId="6"/>
      <queryTableField id="7" dataBound="0"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F33EDAC3-09D6-4E6C-8A55-BF1D9DE0A2A0}" autoFormatId="16" applyNumberFormats="0" applyBorderFormats="0" applyFontFormats="0" applyPatternFormats="0" applyAlignmentFormats="0" applyWidthHeightFormats="0">
  <queryTableRefresh nextId="6">
    <queryTableFields count="5">
      <queryTableField id="1" name="ProjectName" tableColumnId="1"/>
      <queryTableField id="2" name="Manager" tableColumnId="2"/>
      <queryTableField id="3" name="Budget" tableColumnId="3"/>
      <queryTableField id="4" name="Spent" tableColumnId="4"/>
      <queryTableField id="5" name="Completion"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029CED4E-BC94-492C-BE8B-C86A3B900021}" autoFormatId="16" applyNumberFormats="0" applyBorderFormats="0" applyFontFormats="0" applyPatternFormats="0" applyAlignmentFormats="0" applyWidthHeightFormats="0">
  <queryTableRefresh nextId="8" unboundColumnsRight="1">
    <queryTableFields count="7">
      <queryTableField id="1" name="EmpID" tableColumnId="1"/>
      <queryTableField id="2" name="FirstName" tableColumnId="2"/>
      <queryTableField id="3" name="LastName" tableColumnId="3"/>
      <queryTableField id="4" name="Department" tableColumnId="4"/>
      <queryTableField id="5" name="Salary" tableColumnId="5"/>
      <queryTableField id="6" name="HireDate"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9EF6E8F7-6822-48B0-9120-2B1CA8B2E7D7}" sourceName="Manager">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A4E8C39B-38C2-4104-B5F3-96AF1860621B}" cache="Slicer_Manager" caption="Manag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DF115B-DC42-4991-8AEB-92C276DCA257}" name="s_d" displayName="s_d" ref="A1:F11" tableType="queryTable" totalsRowShown="0">
  <autoFilter ref="A1:F11" xr:uid="{8EDF115B-DC42-4991-8AEB-92C276DCA257}"/>
  <tableColumns count="6">
    <tableColumn id="1" xr3:uid="{DCF3AF41-978D-4D48-9CEF-8EAE17E691E6}" uniqueName="1" name="OrderID" queryTableFieldId="1"/>
    <tableColumn id="2" xr3:uid="{2B6D8FAA-E687-4397-BEC6-94172BE8298E}" uniqueName="2" name="Date" queryTableFieldId="2" dataDxfId="18"/>
    <tableColumn id="3" xr3:uid="{5F1E9608-115F-4565-BA97-10AB865B300B}" uniqueName="3" name="Rep" queryTableFieldId="3" dataDxfId="17"/>
    <tableColumn id="4" xr3:uid="{75E657E9-288F-42AC-A30B-1DFCA77BF290}" uniqueName="4" name="Region" queryTableFieldId="4" dataDxfId="16"/>
    <tableColumn id="5" xr3:uid="{50A67D77-AE74-4B5F-B99B-B326715F7A4A}" uniqueName="5" name="Amount" queryTableFieldId="5"/>
    <tableColumn id="6" xr3:uid="{E467C4A1-4C01-4B3E-AC6F-D6E90888CFBB}" uniqueName="6" name="Status" queryTableFieldId="6" dataDxfId="15"/>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F18465-BD36-43B5-9EDB-9CC11463072E}" name="EmployeeRoster" displayName="EmployeeRoster" ref="A1:H5" tableType="queryTable" totalsRowShown="0">
  <autoFilter ref="A1:H5" xr:uid="{E2F18465-BD36-43B5-9EDB-9CC11463072E}"/>
  <tableColumns count="8">
    <tableColumn id="1" xr3:uid="{EAE4C0EB-BD53-4FEE-84F2-D3F7F397752D}" uniqueName="1" name="EmpID" queryTableFieldId="1"/>
    <tableColumn id="2" xr3:uid="{6CD5A609-5457-408E-9ED4-1D6BD271E177}" uniqueName="2" name="FirstName" queryTableFieldId="2" dataDxfId="11"/>
    <tableColumn id="3" xr3:uid="{389AADD9-1165-44E1-8195-6CD6F0B4A3F6}" uniqueName="3" name="LastName" queryTableFieldId="3" dataDxfId="10"/>
    <tableColumn id="4" xr3:uid="{23AEFAAA-F806-4AA4-B8EF-28E53F153233}" uniqueName="4" name="Department" queryTableFieldId="4" dataDxfId="9"/>
    <tableColumn id="5" xr3:uid="{2379ABB2-8F33-4E85-93E6-55C9D2FF3DCC}" uniqueName="5" name="Salary" queryTableFieldId="5"/>
    <tableColumn id="6" xr3:uid="{D0C11D68-B61D-4C99-AD43-9485B4D32B22}" uniqueName="6" name="HireDate" queryTableFieldId="6" dataDxfId="8"/>
    <tableColumn id="7" xr3:uid="{9C5B1DFF-578F-4828-A0D4-01BA4B1F863F}" uniqueName="7" name="Email" queryTableFieldId="7" dataDxfId="7"/>
    <tableColumn id="8" xr3:uid="{BC6B3C60-AEC2-4425-9154-D6551C3AF9E8}" uniqueName="8" name="Bonus" queryTableFieldId="8" dataDxfId="1">
      <calculatedColumnFormula>IF(EmployeeRoster[[#This Row],[Salary]]&gt;=60000,"Eligible","Not Eligible")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F220BF-E329-4F0C-A63E-FB298FD85A50}" name="Inventory__2" displayName="Inventory__2" ref="A1:G10" tableType="queryTable" totalsRowCount="1">
  <autoFilter ref="A1:G9" xr:uid="{BFF220BF-E329-4F0C-A63E-FB298FD85A50}"/>
  <tableColumns count="7">
    <tableColumn id="1" xr3:uid="{951C4E34-23A8-4C3C-86AF-464C541DAB3C}" uniqueName="1" name="ItemCode" totalsRowLabel="Total" queryTableFieldId="1" dataDxfId="14"/>
    <tableColumn id="2" xr3:uid="{B2E3B229-B404-4063-B6F0-8DB0F1CB7225}" uniqueName="2" name="Product" queryTableFieldId="2" dataDxfId="13"/>
    <tableColumn id="3" xr3:uid="{87A4707D-E345-4364-92FD-896C3EE56BBD}" uniqueName="3" name="Category" queryTableFieldId="3" dataDxfId="12"/>
    <tableColumn id="4" xr3:uid="{A3CF5460-6AD2-4D78-8595-253F2CB1E2DD}" uniqueName="4" name="QtyInStock" queryTableFieldId="4"/>
    <tableColumn id="5" xr3:uid="{14D92789-001B-4C66-8095-8505516F0073}" uniqueName="5" name="ReorderLevel" queryTableFieldId="5"/>
    <tableColumn id="6" xr3:uid="{877F4009-6B8F-4255-9008-E04CD45A1DF8}" uniqueName="6" name="Prices" totalsRowFunction="average" queryTableFieldId="6"/>
    <tableColumn id="7" xr3:uid="{24D022B0-2FC2-487B-8806-1D18F032421F}" uniqueName="7" name="Stock Trend"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D07132-94FB-47C6-8227-82DA39939DF0}" name="ProjectSummary" displayName="ProjectSummary" ref="A1:E6" tableType="queryTable" totalsRowShown="0">
  <autoFilter ref="A1:E6" xr:uid="{36D07132-94FB-47C6-8227-82DA39939DF0}">
    <filterColumn colId="1">
      <filters>
        <filter val="Brown"/>
        <filter val="Smith"/>
      </filters>
    </filterColumn>
  </autoFilter>
  <tableColumns count="5">
    <tableColumn id="1" xr3:uid="{58941A29-69D3-4555-BE3E-A01DC90E7700}" uniqueName="1" name="ProjectName" queryTableFieldId="1" dataDxfId="20"/>
    <tableColumn id="2" xr3:uid="{A69593E8-196C-466A-9032-528F810760BC}" uniqueName="2" name="Manager" queryTableFieldId="2" dataDxfId="19"/>
    <tableColumn id="3" xr3:uid="{45EB23FE-FFE9-4BB5-AE9B-42913FC27B31}" uniqueName="3" name="Budget" queryTableFieldId="3"/>
    <tableColumn id="4" xr3:uid="{C61E3F5D-1B05-4E21-8E73-D1DC00581E5C}" uniqueName="4" name="Spent" queryTableFieldId="4"/>
    <tableColumn id="5" xr3:uid="{A700F390-4440-4A4F-9A81-C7FED5840E09}" uniqueName="5" name="Completion" queryTableFieldId="5" dataCellStyle="Percent"/>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A4834E-5447-4500-806F-A021BB5186B7}" name="EmployeeRoster4" displayName="EmployeeRoster4" ref="A1:G5" tableType="queryTable" totalsRowShown="0">
  <autoFilter ref="A1:G5" xr:uid="{E2F18465-BD36-43B5-9EDB-9CC11463072E}"/>
  <tableColumns count="7">
    <tableColumn id="1" xr3:uid="{5E4A9AB8-0738-47A8-9AA7-46124B5D18F5}" uniqueName="1" name="EmpID" queryTableFieldId="1"/>
    <tableColumn id="2" xr3:uid="{0835506B-C584-4C04-847C-C7400319C889}" uniqueName="2" name="FirstName" queryTableFieldId="2" dataDxfId="6"/>
    <tableColumn id="3" xr3:uid="{855AAB9E-8C09-493C-A781-6F3538BB2EE6}" uniqueName="3" name="LastName" queryTableFieldId="3" dataDxfId="5"/>
    <tableColumn id="4" xr3:uid="{45E9EBCD-4D72-4C23-84F0-25C6E54DAAE8}" uniqueName="4" name="Department" queryTableFieldId="4" dataDxfId="4"/>
    <tableColumn id="5" xr3:uid="{D8FF600D-B631-49C1-8C21-DF41F7EFF127}" uniqueName="5" name="Salary" queryTableFieldId="5"/>
    <tableColumn id="6" xr3:uid="{DC62FF41-F3DC-49BC-9BED-77877559ED81}" uniqueName="6" name="HireDate" queryTableFieldId="6" dataDxfId="3"/>
    <tableColumn id="7" xr3:uid="{DF1EDFE5-39DF-4824-B610-C87826F7D4F8}" uniqueName="7" name="Email" queryTableFieldId="7"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Emily.Davis@company.com" TargetMode="External"/><Relationship Id="rId2" Type="http://schemas.openxmlformats.org/officeDocument/2006/relationships/hyperlink" Target="mailto:Jane.Smith@company.com" TargetMode="External"/><Relationship Id="rId1" Type="http://schemas.openxmlformats.org/officeDocument/2006/relationships/hyperlink" Target="mailto:John.Doe@company.com" TargetMode="External"/><Relationship Id="rId6" Type="http://schemas.openxmlformats.org/officeDocument/2006/relationships/table" Target="../tables/table2.xml"/><Relationship Id="rId5" Type="http://schemas.openxmlformats.org/officeDocument/2006/relationships/drawing" Target="../drawings/drawing1.xml"/><Relationship Id="rId4" Type="http://schemas.openxmlformats.org/officeDocument/2006/relationships/hyperlink" Target="mailto:Jessica.Wilson@company.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mailto:Emily.Davis@company.com" TargetMode="External"/><Relationship Id="rId2" Type="http://schemas.openxmlformats.org/officeDocument/2006/relationships/hyperlink" Target="mailto:Jane.Smith@company.com" TargetMode="External"/><Relationship Id="rId1" Type="http://schemas.openxmlformats.org/officeDocument/2006/relationships/hyperlink" Target="mailto:John.Doe@company.com" TargetMode="External"/><Relationship Id="rId5" Type="http://schemas.openxmlformats.org/officeDocument/2006/relationships/table" Target="../tables/table5.xml"/><Relationship Id="rId4" Type="http://schemas.openxmlformats.org/officeDocument/2006/relationships/hyperlink" Target="mailto:Jessica.Wilson@comp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C4F9-F8E2-4DF3-A0DB-937DE9BC6D19}">
  <dimension ref="A1:H11"/>
  <sheetViews>
    <sheetView workbookViewId="0">
      <selection activeCell="I9" sqref="I9"/>
    </sheetView>
  </sheetViews>
  <sheetFormatPr defaultRowHeight="15" x14ac:dyDescent="0.25"/>
  <cols>
    <col min="1" max="1" width="10.42578125" bestFit="1" customWidth="1"/>
    <col min="2" max="2" width="10.140625" bestFit="1" customWidth="1"/>
    <col min="3" max="3" width="6.85546875" bestFit="1" customWidth="1"/>
    <col min="4" max="4" width="9.5703125" bestFit="1" customWidth="1"/>
    <col min="5" max="5" width="10.28515625" bestFit="1" customWidth="1"/>
    <col min="6" max="6" width="10.7109375" bestFit="1" customWidth="1"/>
  </cols>
  <sheetData>
    <row r="1" spans="1:8" x14ac:dyDescent="0.25">
      <c r="A1" t="s">
        <v>0</v>
      </c>
      <c r="B1" t="s">
        <v>1</v>
      </c>
      <c r="C1" t="s">
        <v>2</v>
      </c>
      <c r="D1" t="s">
        <v>3</v>
      </c>
      <c r="E1" t="s">
        <v>4</v>
      </c>
      <c r="F1" t="s">
        <v>5</v>
      </c>
    </row>
    <row r="2" spans="1:8" x14ac:dyDescent="0.25">
      <c r="A2">
        <v>101</v>
      </c>
      <c r="B2" s="1">
        <v>46026</v>
      </c>
      <c r="C2" t="s">
        <v>6</v>
      </c>
      <c r="D2" t="s">
        <v>7</v>
      </c>
      <c r="E2">
        <v>1500</v>
      </c>
      <c r="F2" t="s">
        <v>8</v>
      </c>
      <c r="H2">
        <f>SUMIF(s_d[Region],"North",s_d[Amount])</f>
        <v>4220</v>
      </c>
    </row>
    <row r="3" spans="1:8" x14ac:dyDescent="0.25">
      <c r="A3">
        <v>102</v>
      </c>
      <c r="B3" s="1">
        <v>46057</v>
      </c>
      <c r="C3" t="s">
        <v>9</v>
      </c>
      <c r="D3" t="s">
        <v>10</v>
      </c>
      <c r="E3">
        <v>850</v>
      </c>
      <c r="F3" t="s">
        <v>11</v>
      </c>
    </row>
    <row r="4" spans="1:8" x14ac:dyDescent="0.25">
      <c r="A4">
        <v>103</v>
      </c>
      <c r="B4" s="1">
        <v>46057</v>
      </c>
      <c r="C4" t="s">
        <v>12</v>
      </c>
      <c r="D4" t="s">
        <v>13</v>
      </c>
      <c r="E4">
        <v>2100</v>
      </c>
      <c r="F4" t="s">
        <v>8</v>
      </c>
    </row>
    <row r="5" spans="1:8" x14ac:dyDescent="0.25">
      <c r="A5">
        <v>104</v>
      </c>
      <c r="B5" s="1">
        <v>46085</v>
      </c>
      <c r="C5" t="s">
        <v>6</v>
      </c>
      <c r="D5" t="s">
        <v>7</v>
      </c>
      <c r="E5">
        <v>920</v>
      </c>
      <c r="F5" t="s">
        <v>8</v>
      </c>
    </row>
    <row r="6" spans="1:8" x14ac:dyDescent="0.25">
      <c r="A6">
        <v>105</v>
      </c>
      <c r="B6" s="1">
        <v>46116</v>
      </c>
      <c r="C6" t="s">
        <v>14</v>
      </c>
      <c r="D6" t="s">
        <v>15</v>
      </c>
      <c r="E6">
        <v>3400</v>
      </c>
      <c r="F6" t="s">
        <v>16</v>
      </c>
    </row>
    <row r="7" spans="1:8" x14ac:dyDescent="0.25">
      <c r="A7">
        <v>106</v>
      </c>
      <c r="B7" s="1">
        <v>46146</v>
      </c>
      <c r="C7" t="s">
        <v>9</v>
      </c>
      <c r="D7" t="s">
        <v>10</v>
      </c>
      <c r="E7">
        <v>1150</v>
      </c>
      <c r="F7" t="s">
        <v>8</v>
      </c>
    </row>
    <row r="8" spans="1:8" x14ac:dyDescent="0.25">
      <c r="A8">
        <v>107</v>
      </c>
      <c r="B8" s="1">
        <v>46146</v>
      </c>
      <c r="C8" t="s">
        <v>12</v>
      </c>
      <c r="D8" t="s">
        <v>13</v>
      </c>
      <c r="E8">
        <v>400</v>
      </c>
      <c r="F8" t="s">
        <v>11</v>
      </c>
    </row>
    <row r="9" spans="1:8" x14ac:dyDescent="0.25">
      <c r="A9">
        <v>108</v>
      </c>
      <c r="B9" s="1">
        <v>46177</v>
      </c>
      <c r="C9" t="s">
        <v>14</v>
      </c>
      <c r="D9" t="s">
        <v>15</v>
      </c>
      <c r="E9">
        <v>2750</v>
      </c>
      <c r="F9" t="s">
        <v>8</v>
      </c>
    </row>
    <row r="10" spans="1:8" x14ac:dyDescent="0.25">
      <c r="A10">
        <v>109</v>
      </c>
      <c r="B10" s="1">
        <v>46207</v>
      </c>
      <c r="C10" t="s">
        <v>6</v>
      </c>
      <c r="D10" t="s">
        <v>7</v>
      </c>
      <c r="E10">
        <v>1800</v>
      </c>
      <c r="F10" t="s">
        <v>16</v>
      </c>
    </row>
    <row r="11" spans="1:8" x14ac:dyDescent="0.25">
      <c r="A11">
        <v>110</v>
      </c>
      <c r="B11" s="1">
        <v>46238</v>
      </c>
      <c r="C11" t="s">
        <v>9</v>
      </c>
      <c r="D11" t="s">
        <v>10</v>
      </c>
      <c r="E11">
        <v>600</v>
      </c>
      <c r="F11" t="s">
        <v>8</v>
      </c>
    </row>
  </sheetData>
  <conditionalFormatting sqref="E2:E11">
    <cfRule type="cellIs" dxfId="0" priority="1" operator="greaterThan">
      <formula>1500</formula>
    </cfRule>
  </conditionalFormatting>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2F3C-6CD0-405D-BFF9-D4023399D7A8}">
  <dimension ref="A1:H5"/>
  <sheetViews>
    <sheetView workbookViewId="0">
      <selection activeCell="H21" sqref="H21"/>
    </sheetView>
  </sheetViews>
  <sheetFormatPr defaultRowHeight="15" x14ac:dyDescent="0.25"/>
  <cols>
    <col min="1" max="1" width="9.28515625" bestFit="1" customWidth="1"/>
    <col min="2" max="2" width="12.5703125" bestFit="1" customWidth="1"/>
    <col min="3" max="3" width="12.28515625" bestFit="1" customWidth="1"/>
    <col min="4" max="4" width="14.140625" bestFit="1" customWidth="1"/>
    <col min="5" max="5" width="8.7109375" bestFit="1" customWidth="1"/>
    <col min="6" max="6" width="11.42578125" bestFit="1" customWidth="1"/>
    <col min="7" max="7" width="31" bestFit="1" customWidth="1"/>
    <col min="8" max="8" width="11" bestFit="1" customWidth="1"/>
  </cols>
  <sheetData>
    <row r="1" spans="1:8" x14ac:dyDescent="0.25">
      <c r="A1" t="s">
        <v>17</v>
      </c>
      <c r="B1" t="s">
        <v>18</v>
      </c>
      <c r="C1" t="s">
        <v>19</v>
      </c>
      <c r="D1" t="s">
        <v>20</v>
      </c>
      <c r="E1" t="s">
        <v>21</v>
      </c>
      <c r="F1" t="s">
        <v>22</v>
      </c>
      <c r="G1" t="s">
        <v>73</v>
      </c>
      <c r="H1" t="s">
        <v>78</v>
      </c>
    </row>
    <row r="2" spans="1:8" x14ac:dyDescent="0.25">
      <c r="A2">
        <v>1001</v>
      </c>
      <c r="B2" t="s">
        <v>23</v>
      </c>
      <c r="C2" t="s">
        <v>24</v>
      </c>
      <c r="D2" t="s">
        <v>25</v>
      </c>
      <c r="E2">
        <v>65000</v>
      </c>
      <c r="F2" t="s">
        <v>26</v>
      </c>
      <c r="G2" s="3" t="s">
        <v>74</v>
      </c>
      <c r="H2" s="2" t="str">
        <f>IF(EmployeeRoster[[#This Row],[Salary]]&gt;=60000,"Eligible","Not Eligible")</f>
        <v>Eligible</v>
      </c>
    </row>
    <row r="3" spans="1:8" x14ac:dyDescent="0.25">
      <c r="A3">
        <v>1002</v>
      </c>
      <c r="B3" t="s">
        <v>27</v>
      </c>
      <c r="C3" t="s">
        <v>6</v>
      </c>
      <c r="D3" t="s">
        <v>28</v>
      </c>
      <c r="E3">
        <v>55000</v>
      </c>
      <c r="F3" t="s">
        <v>29</v>
      </c>
      <c r="G3" s="3" t="s">
        <v>75</v>
      </c>
      <c r="H3" s="2" t="str">
        <f>IF(EmployeeRoster[[#This Row],[Salary]]&gt;=60000,"Eligible","Not Eligible")</f>
        <v>Not Eligible</v>
      </c>
    </row>
    <row r="4" spans="1:8" x14ac:dyDescent="0.25">
      <c r="A4">
        <v>1004</v>
      </c>
      <c r="B4" t="s">
        <v>31</v>
      </c>
      <c r="C4" t="s">
        <v>32</v>
      </c>
      <c r="D4" t="s">
        <v>33</v>
      </c>
      <c r="E4">
        <v>48000</v>
      </c>
      <c r="F4" t="s">
        <v>34</v>
      </c>
      <c r="G4" s="3" t="s">
        <v>76</v>
      </c>
      <c r="H4" s="2" t="str">
        <f>IF(EmployeeRoster[[#This Row],[Salary]]&gt;=60000,"Eligible","Not Eligible")</f>
        <v>Not Eligible</v>
      </c>
    </row>
    <row r="5" spans="1:8" x14ac:dyDescent="0.25">
      <c r="A5">
        <v>1006</v>
      </c>
      <c r="B5" t="s">
        <v>35</v>
      </c>
      <c r="C5" t="s">
        <v>36</v>
      </c>
      <c r="D5" t="s">
        <v>37</v>
      </c>
      <c r="E5">
        <v>61000</v>
      </c>
      <c r="F5" t="s">
        <v>38</v>
      </c>
      <c r="G5" s="3" t="s">
        <v>77</v>
      </c>
      <c r="H5" s="2" t="str">
        <f>IF(EmployeeRoster[[#This Row],[Salary]]&gt;=60000,"Eligible","Not Eligible")</f>
        <v>Eligible</v>
      </c>
    </row>
  </sheetData>
  <hyperlinks>
    <hyperlink ref="G2" r:id="rId1" xr:uid="{B2DAF1B5-492B-4E8E-964D-1D22B4758A44}"/>
    <hyperlink ref="G3" r:id="rId2" xr:uid="{48A905A0-D090-4961-ABFB-6554CDBCB1DB}"/>
    <hyperlink ref="G4" r:id="rId3" xr:uid="{20AE4830-FB5E-4674-9DCA-2819CF3AEA20}"/>
    <hyperlink ref="G5" r:id="rId4" xr:uid="{5AA1A10B-4FA2-4BAB-94BC-516206BAD66F}"/>
  </hyperlinks>
  <pageMargins left="0.7" right="0.7" top="0.75" bottom="0.75" header="0.3" footer="0.3"/>
  <drawing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9465-DC35-4B13-82D8-8444B32D2865}">
  <dimension ref="A1:I10"/>
  <sheetViews>
    <sheetView tabSelected="1" workbookViewId="0">
      <pane ySplit="1" topLeftCell="A2" activePane="bottomLeft" state="frozen"/>
      <selection pane="bottomLeft" activeCell="F29" sqref="F29"/>
    </sheetView>
  </sheetViews>
  <sheetFormatPr defaultRowHeight="15" x14ac:dyDescent="0.25"/>
  <cols>
    <col min="1" max="1" width="12.28515625" bestFit="1" customWidth="1"/>
    <col min="2" max="2" width="10.28515625" bestFit="1" customWidth="1"/>
    <col min="3" max="3" width="11.5703125" bestFit="1" customWidth="1"/>
    <col min="4" max="4" width="13.140625" bestFit="1" customWidth="1"/>
    <col min="5" max="5" width="15.5703125" bestFit="1" customWidth="1"/>
    <col min="6" max="6" width="11.5703125" bestFit="1" customWidth="1"/>
    <col min="7" max="7" width="13.85546875" bestFit="1" customWidth="1"/>
  </cols>
  <sheetData>
    <row r="1" spans="1:9" x14ac:dyDescent="0.25">
      <c r="A1" t="s">
        <v>39</v>
      </c>
      <c r="B1" t="s">
        <v>40</v>
      </c>
      <c r="C1" t="s">
        <v>41</v>
      </c>
      <c r="D1" t="s">
        <v>42</v>
      </c>
      <c r="E1" t="s">
        <v>43</v>
      </c>
      <c r="F1" t="s">
        <v>79</v>
      </c>
      <c r="G1" t="s">
        <v>80</v>
      </c>
    </row>
    <row r="2" spans="1:9" x14ac:dyDescent="0.25">
      <c r="A2" t="s">
        <v>44</v>
      </c>
      <c r="B2" t="s">
        <v>45</v>
      </c>
      <c r="C2" t="s">
        <v>46</v>
      </c>
      <c r="D2">
        <v>45</v>
      </c>
      <c r="E2">
        <v>20</v>
      </c>
      <c r="F2">
        <v>1200</v>
      </c>
      <c r="I2" t="str">
        <f>VLOOKUP("A15",Inventory__2[],3,FALSE)</f>
        <v>Furniture</v>
      </c>
    </row>
    <row r="3" spans="1:9" x14ac:dyDescent="0.25">
      <c r="A3" t="s">
        <v>47</v>
      </c>
      <c r="B3" t="s">
        <v>48</v>
      </c>
      <c r="C3" t="s">
        <v>49</v>
      </c>
      <c r="D3">
        <v>150</v>
      </c>
      <c r="E3">
        <v>50</v>
      </c>
      <c r="F3">
        <v>25</v>
      </c>
    </row>
    <row r="4" spans="1:9" x14ac:dyDescent="0.25">
      <c r="A4" t="s">
        <v>50</v>
      </c>
      <c r="B4" t="s">
        <v>51</v>
      </c>
      <c r="C4" t="s">
        <v>49</v>
      </c>
      <c r="D4">
        <v>85</v>
      </c>
      <c r="E4">
        <v>30</v>
      </c>
      <c r="F4">
        <v>45</v>
      </c>
    </row>
    <row r="5" spans="1:9" x14ac:dyDescent="0.25">
      <c r="A5" t="s">
        <v>52</v>
      </c>
      <c r="B5" t="s">
        <v>53</v>
      </c>
      <c r="C5" t="s">
        <v>46</v>
      </c>
      <c r="D5">
        <v>32</v>
      </c>
      <c r="E5">
        <v>15</v>
      </c>
      <c r="F5">
        <v>300</v>
      </c>
    </row>
    <row r="6" spans="1:9" x14ac:dyDescent="0.25">
      <c r="A6" t="s">
        <v>54</v>
      </c>
      <c r="B6" t="s">
        <v>55</v>
      </c>
      <c r="C6" t="s">
        <v>56</v>
      </c>
      <c r="D6">
        <v>12</v>
      </c>
      <c r="E6">
        <v>10</v>
      </c>
      <c r="F6">
        <v>250</v>
      </c>
    </row>
    <row r="7" spans="1:9" x14ac:dyDescent="0.25">
      <c r="A7" t="s">
        <v>57</v>
      </c>
      <c r="B7" t="s">
        <v>58</v>
      </c>
      <c r="C7" t="s">
        <v>56</v>
      </c>
      <c r="D7">
        <v>28</v>
      </c>
      <c r="E7">
        <v>15</v>
      </c>
      <c r="F7">
        <v>150</v>
      </c>
    </row>
    <row r="8" spans="1:9" x14ac:dyDescent="0.25">
      <c r="A8" t="s">
        <v>59</v>
      </c>
      <c r="B8" t="s">
        <v>60</v>
      </c>
      <c r="C8" t="s">
        <v>49</v>
      </c>
      <c r="D8">
        <v>60</v>
      </c>
      <c r="E8">
        <v>25</v>
      </c>
      <c r="F8">
        <v>80</v>
      </c>
    </row>
    <row r="9" spans="1:9" x14ac:dyDescent="0.25">
      <c r="A9" t="s">
        <v>61</v>
      </c>
      <c r="B9" t="s">
        <v>62</v>
      </c>
      <c r="C9" t="s">
        <v>49</v>
      </c>
      <c r="D9">
        <v>110</v>
      </c>
      <c r="E9">
        <v>40</v>
      </c>
      <c r="F9">
        <v>65</v>
      </c>
    </row>
    <row r="10" spans="1:9" x14ac:dyDescent="0.25">
      <c r="A10" t="s">
        <v>81</v>
      </c>
      <c r="F10">
        <f>SUBTOTAL(101,Inventory__2[Prices])</f>
        <v>264.375</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column" displayEmptyCellsAs="gap" xr2:uid="{81B78F58-B324-4E18-A7A2-E8B6716D97FB}">
          <x14:colorSeries rgb="FF376092"/>
          <x14:colorNegative rgb="FFD00000"/>
          <x14:colorAxis rgb="FF000000"/>
          <x14:colorMarkers rgb="FFD00000"/>
          <x14:colorFirst rgb="FFD00000"/>
          <x14:colorLast rgb="FFD00000"/>
          <x14:colorHigh rgb="FFD00000"/>
          <x14:colorLow rgb="FFD00000"/>
          <x14:sparklines>
            <x14:sparkline>
              <xm:f>Inventory!D2:E2</xm:f>
              <xm:sqref>G2</xm:sqref>
            </x14:sparkline>
            <x14:sparkline>
              <xm:f>Inventory!D3:E3</xm:f>
              <xm:sqref>G3</xm:sqref>
            </x14:sparkline>
            <x14:sparkline>
              <xm:f>Inventory!D4:E4</xm:f>
              <xm:sqref>G4</xm:sqref>
            </x14:sparkline>
            <x14:sparkline>
              <xm:f>Inventory!D5:E5</xm:f>
              <xm:sqref>G5</xm:sqref>
            </x14:sparkline>
            <x14:sparkline>
              <xm:f>Inventory!D6:E6</xm:f>
              <xm:sqref>G6</xm:sqref>
            </x14:sparkline>
            <x14:sparkline>
              <xm:f>Inventory!D7:E7</xm:f>
              <xm:sqref>G7</xm:sqref>
            </x14:sparkline>
            <x14:sparkline>
              <xm:f>Inventory!D8:E8</xm:f>
              <xm:sqref>G8</xm:sqref>
            </x14:sparkline>
            <x14:sparkline>
              <xm:f>Inventory!D9:E9</xm:f>
              <xm:sqref>G9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BD4F-10C9-40A1-8F61-A06EBD9A55A4}">
  <dimension ref="A1:G6"/>
  <sheetViews>
    <sheetView workbookViewId="0">
      <selection activeCell="C1" activeCellId="1" sqref="A1:A6 C1:C6"/>
    </sheetView>
  </sheetViews>
  <sheetFormatPr defaultRowHeight="15" x14ac:dyDescent="0.25"/>
  <cols>
    <col min="1" max="1" width="15" bestFit="1" customWidth="1"/>
    <col min="2" max="2" width="10.85546875" bestFit="1" customWidth="1"/>
    <col min="3" max="3" width="9.5703125" bestFit="1" customWidth="1"/>
    <col min="4" max="4" width="8.5703125" bestFit="1" customWidth="1"/>
    <col min="5" max="5" width="14" bestFit="1" customWidth="1"/>
    <col min="7" max="7" width="12" bestFit="1" customWidth="1"/>
  </cols>
  <sheetData>
    <row r="1" spans="1:7" x14ac:dyDescent="0.25">
      <c r="A1" t="s">
        <v>63</v>
      </c>
      <c r="B1" t="s">
        <v>64</v>
      </c>
      <c r="C1" t="s">
        <v>65</v>
      </c>
      <c r="D1" t="s">
        <v>66</v>
      </c>
      <c r="E1" t="s">
        <v>67</v>
      </c>
      <c r="G1" t="s">
        <v>82</v>
      </c>
    </row>
    <row r="2" spans="1:7" hidden="1" x14ac:dyDescent="0.25">
      <c r="A2" t="s">
        <v>68</v>
      </c>
      <c r="B2" t="s">
        <v>24</v>
      </c>
      <c r="C2">
        <v>50000</v>
      </c>
      <c r="D2">
        <v>45000</v>
      </c>
      <c r="E2" s="4">
        <v>0.9</v>
      </c>
      <c r="G2" t="str">
        <f>LEFT(UPPER(ProjectSummary[[#This Row],[ProjectName]]),2)</f>
        <v>AL</v>
      </c>
    </row>
    <row r="3" spans="1:7" x14ac:dyDescent="0.25">
      <c r="A3" t="s">
        <v>69</v>
      </c>
      <c r="B3" t="s">
        <v>6</v>
      </c>
      <c r="C3">
        <v>75000</v>
      </c>
      <c r="D3">
        <v>30000</v>
      </c>
      <c r="E3" s="4">
        <v>0.4</v>
      </c>
      <c r="G3" t="str">
        <f>LEFT(UPPER(ProjectSummary[[#This Row],[ProjectName]]),2)</f>
        <v>BE</v>
      </c>
    </row>
    <row r="4" spans="1:7" hidden="1" x14ac:dyDescent="0.25">
      <c r="A4" t="s">
        <v>70</v>
      </c>
      <c r="B4" t="s">
        <v>30</v>
      </c>
      <c r="C4">
        <v>120000</v>
      </c>
      <c r="D4">
        <v>115000</v>
      </c>
      <c r="E4" s="4">
        <v>0.95</v>
      </c>
      <c r="G4" t="str">
        <f>LEFT(UPPER(ProjectSummary[[#This Row],[ProjectName]]),2)</f>
        <v>GA</v>
      </c>
    </row>
    <row r="5" spans="1:7" hidden="1" x14ac:dyDescent="0.25">
      <c r="A5" t="s">
        <v>71</v>
      </c>
      <c r="B5" t="s">
        <v>32</v>
      </c>
      <c r="C5">
        <v>30000</v>
      </c>
      <c r="D5">
        <v>10000</v>
      </c>
      <c r="E5" s="4">
        <v>0.33</v>
      </c>
      <c r="G5" t="str">
        <f>LEFT(UPPER(ProjectSummary[[#This Row],[ProjectName]]),2)</f>
        <v>DE</v>
      </c>
    </row>
    <row r="6" spans="1:7" x14ac:dyDescent="0.25">
      <c r="A6" t="s">
        <v>72</v>
      </c>
      <c r="B6" t="s">
        <v>12</v>
      </c>
      <c r="C6">
        <v>90000</v>
      </c>
      <c r="D6">
        <v>90000</v>
      </c>
      <c r="E6" s="4">
        <v>1</v>
      </c>
      <c r="G6" t="str">
        <f>LEFT(UPPER(ProjectSummary[[#This Row],[ProjectName]]),2)</f>
        <v>EP</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79F3-9FCB-4C09-B280-998F4B4EC3F2}">
  <dimension ref="A1:G5"/>
  <sheetViews>
    <sheetView workbookViewId="0">
      <selection sqref="A1:G9"/>
    </sheetView>
  </sheetViews>
  <sheetFormatPr defaultRowHeight="15" x14ac:dyDescent="0.25"/>
  <cols>
    <col min="1" max="1" width="9.28515625" bestFit="1" customWidth="1"/>
    <col min="2" max="2" width="12.5703125" bestFit="1" customWidth="1"/>
    <col min="3" max="3" width="12.28515625" bestFit="1" customWidth="1"/>
    <col min="4" max="4" width="14.140625" bestFit="1" customWidth="1"/>
    <col min="5" max="5" width="8.7109375" bestFit="1" customWidth="1"/>
    <col min="6" max="6" width="11.42578125" bestFit="1" customWidth="1"/>
    <col min="7" max="7" width="31" bestFit="1" customWidth="1"/>
  </cols>
  <sheetData>
    <row r="1" spans="1:7" x14ac:dyDescent="0.25">
      <c r="A1" t="s">
        <v>17</v>
      </c>
      <c r="B1" t="s">
        <v>18</v>
      </c>
      <c r="C1" t="s">
        <v>19</v>
      </c>
      <c r="D1" t="s">
        <v>20</v>
      </c>
      <c r="E1" t="s">
        <v>21</v>
      </c>
      <c r="F1" t="s">
        <v>22</v>
      </c>
      <c r="G1" t="s">
        <v>73</v>
      </c>
    </row>
    <row r="2" spans="1:7" x14ac:dyDescent="0.25">
      <c r="A2">
        <v>1001</v>
      </c>
      <c r="B2" t="s">
        <v>23</v>
      </c>
      <c r="C2" t="s">
        <v>24</v>
      </c>
      <c r="D2" t="s">
        <v>25</v>
      </c>
      <c r="E2">
        <v>65000</v>
      </c>
      <c r="F2" t="s">
        <v>26</v>
      </c>
      <c r="G2" s="3" t="s">
        <v>74</v>
      </c>
    </row>
    <row r="3" spans="1:7" x14ac:dyDescent="0.25">
      <c r="A3">
        <v>1002</v>
      </c>
      <c r="B3" t="s">
        <v>27</v>
      </c>
      <c r="C3" t="s">
        <v>6</v>
      </c>
      <c r="D3" t="s">
        <v>28</v>
      </c>
      <c r="E3">
        <v>55000</v>
      </c>
      <c r="F3" t="s">
        <v>29</v>
      </c>
      <c r="G3" s="3" t="s">
        <v>75</v>
      </c>
    </row>
    <row r="4" spans="1:7" x14ac:dyDescent="0.25">
      <c r="A4">
        <v>1004</v>
      </c>
      <c r="B4" t="s">
        <v>31</v>
      </c>
      <c r="C4" t="s">
        <v>32</v>
      </c>
      <c r="D4" t="s">
        <v>33</v>
      </c>
      <c r="E4">
        <v>48000</v>
      </c>
      <c r="F4" t="s">
        <v>34</v>
      </c>
      <c r="G4" s="3" t="s">
        <v>76</v>
      </c>
    </row>
    <row r="5" spans="1:7" x14ac:dyDescent="0.25">
      <c r="A5">
        <v>1006</v>
      </c>
      <c r="B5" t="s">
        <v>35</v>
      </c>
      <c r="C5" t="s">
        <v>36</v>
      </c>
      <c r="D5" t="s">
        <v>37</v>
      </c>
      <c r="E5">
        <v>61000</v>
      </c>
      <c r="F5" t="s">
        <v>38</v>
      </c>
      <c r="G5" s="3" t="s">
        <v>77</v>
      </c>
    </row>
  </sheetData>
  <hyperlinks>
    <hyperlink ref="G2" r:id="rId1" xr:uid="{745D83D6-E437-4AB4-A025-E98A21C53219}"/>
    <hyperlink ref="G3" r:id="rId2" xr:uid="{7B51B2A3-1B6A-40DE-BC91-7DBB9CC44867}"/>
    <hyperlink ref="G4" r:id="rId3" xr:uid="{A579BF61-F21C-4CAF-B5FC-9CC5C503E1E0}"/>
    <hyperlink ref="G5" r:id="rId4" xr:uid="{7BB6B291-5C1F-4432-9328-CD242F9680B2}"/>
  </hyperlinks>
  <pageMargins left="0.7" right="0.7" top="0.75" bottom="0.75" header="0.3" footer="0.3"/>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CFAEA6-0B0E-4B55-8635-BEE161D5B5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5</vt:i4>
      </vt:variant>
      <vt:variant>
        <vt:lpstr>Charts</vt:lpstr>
      </vt:variant>
      <vt:variant>
        <vt:i4>1</vt:i4>
      </vt:variant>
      <vt:variant>
        <vt:lpstr>Named Ranges</vt:lpstr>
      </vt:variant>
      <vt:variant>
        <vt:i4>1</vt:i4>
      </vt:variant>
    </vt:vector>
  </HeadingPairs>
  <TitlesOfParts>
    <vt:vector size="7" baseType="lpstr">
      <vt:lpstr>SalesData</vt:lpstr>
      <vt:lpstr>EmployeeRoster</vt:lpstr>
      <vt:lpstr>Inventory</vt:lpstr>
      <vt:lpstr>ProjectSummary</vt:lpstr>
      <vt:lpstr>EmployeeRoster (2)</vt:lpstr>
      <vt:lpstr>BudgetChart</vt:lpstr>
      <vt:lpstr>SalesData!Print_Area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Aleksy Dobrodziej</dc:creator>
  <cp:keywords>Q2_Report</cp:keywords>
  <cp:lastModifiedBy>Aleksy Dobrodziej</cp:lastModifiedBy>
  <cp:lastPrinted>2026-04-27T14:20:15Z</cp:lastPrinted>
  <dcterms:created xsi:type="dcterms:W3CDTF">2026-04-27T14:08:23Z</dcterms:created>
  <dcterms:modified xsi:type="dcterms:W3CDTF">2026-04-27T14:36:00Z</dcterms:modified>
</cp:coreProperties>
</file>